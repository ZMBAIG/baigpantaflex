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AIG PRESS\"/>
    </mc:Choice>
  </mc:AlternateContent>
  <xr:revisionPtr revIDLastSave="0" documentId="13_ncr:1_{62609D48-97B6-4DB0-B677-BD332E6EA2E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shboard" sheetId="1" r:id="rId1"/>
    <sheet name="Revenue" sheetId="2" r:id="rId2"/>
    <sheet name="Expenses" sheetId="3" r:id="rId3"/>
    <sheet name="Payroll" sheetId="4" r:id="rId4"/>
    <sheet name="Monthly P&amp;L" sheetId="5" r:id="rId5"/>
    <sheet name="Cash Flow" sheetId="6" r:id="rId6"/>
    <sheet name="Chart Data" sheetId="7" r:id="rId7"/>
    <sheet name="Instruction" sheetId="8" r:id="rId8"/>
  </sheets>
  <definedNames>
    <definedName name="_xlnm.Print_Titles" localSheetId="5">'Cash Flow'!$1:$3</definedName>
    <definedName name="_xlnm.Print_Titles" localSheetId="0">Dashboard!$1:$3</definedName>
    <definedName name="_xlnm.Print_Titles" localSheetId="2">Expenses!$1:$3</definedName>
    <definedName name="_xlnm.Print_Titles" localSheetId="4">'Monthly P&amp;L'!$1:$3</definedName>
    <definedName name="_xlnm.Print_Titles" localSheetId="3">Payroll!$1:$3</definedName>
    <definedName name="_xlnm.Print_Titles" localSheetId="1">Revenue!$1:$3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4" l="1"/>
  <c r="L6" i="4" s="1"/>
  <c r="I9" i="4"/>
  <c r="L9" i="4" s="1"/>
  <c r="I10" i="4"/>
  <c r="L10" i="4" s="1"/>
  <c r="E37" i="6"/>
  <c r="E36" i="6"/>
  <c r="E35" i="6"/>
  <c r="E34" i="6"/>
  <c r="C29" i="6"/>
  <c r="D29" i="6" s="1"/>
  <c r="C28" i="6"/>
  <c r="D28" i="6" s="1"/>
  <c r="D27" i="6"/>
  <c r="C27" i="6"/>
  <c r="C26" i="6"/>
  <c r="D26" i="6" s="1"/>
  <c r="D22" i="6"/>
  <c r="C22" i="6"/>
  <c r="E22" i="6" s="1"/>
  <c r="E21" i="6"/>
  <c r="E20" i="6"/>
  <c r="E19" i="6"/>
  <c r="E18" i="6"/>
  <c r="E17" i="6"/>
  <c r="E16" i="6"/>
  <c r="E15" i="6"/>
  <c r="E14" i="6"/>
  <c r="C10" i="6"/>
  <c r="C36" i="5"/>
  <c r="D35" i="5"/>
  <c r="D32" i="5"/>
  <c r="D30" i="5"/>
  <c r="D28" i="5"/>
  <c r="D27" i="5"/>
  <c r="D20" i="5"/>
  <c r="C20" i="5"/>
  <c r="D34" i="5" s="1"/>
  <c r="D19" i="5"/>
  <c r="C19" i="5"/>
  <c r="D16" i="5"/>
  <c r="D12" i="5"/>
  <c r="D11" i="5"/>
  <c r="D10" i="5"/>
  <c r="D9" i="5"/>
  <c r="C18" i="4"/>
  <c r="F16" i="4"/>
  <c r="F15" i="4"/>
  <c r="K12" i="4"/>
  <c r="J12" i="4"/>
  <c r="C16" i="4" s="1"/>
  <c r="H12" i="4"/>
  <c r="G12" i="4"/>
  <c r="F12" i="4"/>
  <c r="I8" i="4"/>
  <c r="L8" i="4" s="1"/>
  <c r="I7" i="4"/>
  <c r="L7" i="4" s="1"/>
  <c r="I5" i="4"/>
  <c r="L5" i="4" s="1"/>
  <c r="C68" i="3"/>
  <c r="C67" i="3"/>
  <c r="C64" i="3"/>
  <c r="C63" i="3"/>
  <c r="C62" i="3"/>
  <c r="C55" i="3"/>
  <c r="H50" i="3"/>
  <c r="G50" i="3"/>
  <c r="C16" i="1" s="1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C66" i="3" s="1"/>
  <c r="I17" i="3"/>
  <c r="I16" i="3"/>
  <c r="I15" i="3"/>
  <c r="C59" i="3" s="1"/>
  <c r="I14" i="3"/>
  <c r="C65" i="3" s="1"/>
  <c r="I13" i="3"/>
  <c r="I12" i="3"/>
  <c r="I11" i="3"/>
  <c r="I10" i="3"/>
  <c r="C61" i="3" s="1"/>
  <c r="I9" i="3"/>
  <c r="C57" i="3" s="1"/>
  <c r="I8" i="3"/>
  <c r="C71" i="3" s="1"/>
  <c r="I7" i="3"/>
  <c r="C60" i="3" s="1"/>
  <c r="I6" i="3"/>
  <c r="C58" i="3" s="1"/>
  <c r="I5" i="3"/>
  <c r="I4" i="3"/>
  <c r="C54" i="3" s="1"/>
  <c r="D51" i="2"/>
  <c r="C51" i="2"/>
  <c r="C50" i="2"/>
  <c r="C49" i="2"/>
  <c r="I45" i="2"/>
  <c r="F45" i="2"/>
  <c r="H43" i="2"/>
  <c r="J43" i="2" s="1"/>
  <c r="J42" i="2"/>
  <c r="H42" i="2"/>
  <c r="H41" i="2"/>
  <c r="J41" i="2" s="1"/>
  <c r="H40" i="2"/>
  <c r="J40" i="2" s="1"/>
  <c r="H39" i="2"/>
  <c r="J39" i="2" s="1"/>
  <c r="J38" i="2"/>
  <c r="H38" i="2"/>
  <c r="H37" i="2"/>
  <c r="J37" i="2" s="1"/>
  <c r="H36" i="2"/>
  <c r="J36" i="2" s="1"/>
  <c r="H35" i="2"/>
  <c r="J35" i="2" s="1"/>
  <c r="J34" i="2"/>
  <c r="H34" i="2"/>
  <c r="H33" i="2"/>
  <c r="J33" i="2" s="1"/>
  <c r="H32" i="2"/>
  <c r="J32" i="2" s="1"/>
  <c r="H31" i="2"/>
  <c r="J31" i="2" s="1"/>
  <c r="J30" i="2"/>
  <c r="H30" i="2"/>
  <c r="H29" i="2"/>
  <c r="J29" i="2" s="1"/>
  <c r="H28" i="2"/>
  <c r="J28" i="2" s="1"/>
  <c r="H27" i="2"/>
  <c r="J27" i="2" s="1"/>
  <c r="J26" i="2"/>
  <c r="H26" i="2"/>
  <c r="H25" i="2"/>
  <c r="J25" i="2" s="1"/>
  <c r="H24" i="2"/>
  <c r="J24" i="2" s="1"/>
  <c r="H23" i="2"/>
  <c r="J23" i="2" s="1"/>
  <c r="J22" i="2"/>
  <c r="H22" i="2"/>
  <c r="H21" i="2"/>
  <c r="J21" i="2" s="1"/>
  <c r="H20" i="2"/>
  <c r="J20" i="2" s="1"/>
  <c r="H19" i="2"/>
  <c r="J19" i="2" s="1"/>
  <c r="J18" i="2"/>
  <c r="H18" i="2"/>
  <c r="H17" i="2"/>
  <c r="J17" i="2" s="1"/>
  <c r="H16" i="2"/>
  <c r="J16" i="2" s="1"/>
  <c r="H15" i="2"/>
  <c r="J15" i="2" s="1"/>
  <c r="J14" i="2"/>
  <c r="H14" i="2"/>
  <c r="H13" i="2"/>
  <c r="J13" i="2" s="1"/>
  <c r="H12" i="2"/>
  <c r="J12" i="2" s="1"/>
  <c r="H11" i="2"/>
  <c r="J11" i="2" s="1"/>
  <c r="J10" i="2"/>
  <c r="H10" i="2"/>
  <c r="H9" i="2"/>
  <c r="J9" i="2" s="1"/>
  <c r="H8" i="2"/>
  <c r="J8" i="2" s="1"/>
  <c r="H7" i="2"/>
  <c r="J7" i="2" s="1"/>
  <c r="J6" i="2"/>
  <c r="H6" i="2"/>
  <c r="H5" i="2"/>
  <c r="J5" i="2" s="1"/>
  <c r="H4" i="2"/>
  <c r="H45" i="2" s="1"/>
  <c r="G32" i="1"/>
  <c r="E32" i="1"/>
  <c r="D32" i="1"/>
  <c r="C32" i="1"/>
  <c r="F29" i="1"/>
  <c r="F28" i="1"/>
  <c r="F27" i="1"/>
  <c r="F26" i="1"/>
  <c r="F25" i="1"/>
  <c r="F24" i="1"/>
  <c r="F23" i="1"/>
  <c r="F32" i="1" s="1"/>
  <c r="F22" i="1"/>
  <c r="F21" i="1"/>
  <c r="F20" i="1"/>
  <c r="C15" i="1"/>
  <c r="C14" i="1"/>
  <c r="C10" i="1"/>
  <c r="C9" i="1"/>
  <c r="L12" i="4" l="1"/>
  <c r="C17" i="4" s="1"/>
  <c r="D50" i="2"/>
  <c r="C56" i="3"/>
  <c r="D29" i="5"/>
  <c r="D36" i="5"/>
  <c r="C30" i="6"/>
  <c r="D30" i="6" s="1"/>
  <c r="I12" i="4"/>
  <c r="C15" i="4" s="1"/>
  <c r="D15" i="5"/>
  <c r="C22" i="5"/>
  <c r="D31" i="5"/>
  <c r="I50" i="3"/>
  <c r="J4" i="2"/>
  <c r="D7" i="5"/>
  <c r="D17" i="5"/>
  <c r="D25" i="5"/>
  <c r="D33" i="5"/>
  <c r="D8" i="5"/>
  <c r="D18" i="5"/>
  <c r="D26" i="5"/>
  <c r="J45" i="2" l="1"/>
  <c r="D49" i="2"/>
  <c r="D66" i="3"/>
  <c r="D62" i="3"/>
  <c r="D58" i="3"/>
  <c r="D54" i="3"/>
  <c r="D68" i="3"/>
  <c r="D64" i="3"/>
  <c r="D60" i="3"/>
  <c r="D56" i="3"/>
  <c r="D63" i="3"/>
  <c r="D55" i="3"/>
  <c r="D65" i="3"/>
  <c r="D61" i="3"/>
  <c r="D57" i="3"/>
  <c r="D67" i="3"/>
  <c r="D59" i="3"/>
  <c r="C11" i="1"/>
  <c r="D22" i="5"/>
  <c r="C38" i="5"/>
  <c r="C12" i="1" l="1"/>
  <c r="C39" i="5"/>
  <c r="C13" i="1" s="1"/>
  <c r="D38" i="5"/>
  <c r="D39" i="5"/>
</calcChain>
</file>

<file path=xl/sharedStrings.xml><?xml version="1.0" encoding="utf-8"?>
<sst xmlns="http://schemas.openxmlformats.org/spreadsheetml/2006/main" count="481" uniqueCount="355">
  <si>
    <t>Company Name:</t>
  </si>
  <si>
    <t>Report Period:</t>
  </si>
  <si>
    <t>October 2026</t>
  </si>
  <si>
    <t>Prepared On:</t>
  </si>
  <si>
    <t>2026-10-18</t>
  </si>
  <si>
    <t>KEY PERFORMANCE INDICATORS</t>
  </si>
  <si>
    <t>Metric</t>
  </si>
  <si>
    <t>Amount / Value</t>
  </si>
  <si>
    <t>Notes</t>
  </si>
  <si>
    <t>Total Revenue</t>
  </si>
  <si>
    <t>All income streams combined</t>
  </si>
  <si>
    <t>Total Expenses</t>
  </si>
  <si>
    <t>Operating + COGS + Overhead</t>
  </si>
  <si>
    <t>Gross Profit</t>
  </si>
  <si>
    <t>Revenue minus Cost of Goods Sold</t>
  </si>
  <si>
    <t>Net Profit</t>
  </si>
  <si>
    <t>After all expenses &amp; salaries</t>
  </si>
  <si>
    <t>Profit Margin %</t>
  </si>
  <si>
    <t>Net Profit / Total Revenue</t>
  </si>
  <si>
    <t>Total Salaries</t>
  </si>
  <si>
    <t>Monthly payroll total</t>
  </si>
  <si>
    <t>Cash / Savings</t>
  </si>
  <si>
    <t>Bank + Petty Cash + Reserves</t>
  </si>
  <si>
    <t>Outstanding Payables</t>
  </si>
  <si>
    <t>Unpaid supplier invoices</t>
  </si>
  <si>
    <t>MONTHLY SNAPSHOT (Current Year)</t>
  </si>
  <si>
    <t>Month</t>
  </si>
  <si>
    <t>Revenue</t>
  </si>
  <si>
    <t>Expenses</t>
  </si>
  <si>
    <t>Salaries</t>
  </si>
  <si>
    <t>Savings Add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</si>
  <si>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</si>
  <si>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</si>
  <si>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</si>
  <si>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</si>
  <si>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</si>
  <si>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</si>
  <si>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</si>
  <si>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</si>
  <si>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</si>
  <si>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</si>
  <si>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</si>
  <si>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</si>
  <si>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TOTAL</t>
  </si>
  <si>
    <t>HOW TO USE THIS WORKBOOK</t>
  </si>
  <si>
    <t>1. Yellow cells with BLUE text are INPUT cells — edit these with your actual figures.</t>
  </si>
  <si>
    <t>2. Black text cells contain FORMULAS — do not overwrite them.</t>
  </si>
  <si>
    <t>3. Start with the 'Revenue' sheet to log sales/jobs, then 'Expenses', then 'Payroll'.</t>
  </si>
  <si>
    <t>4. 'Monthly P&amp;L' automatically calculates profit from the other sheets.</t>
  </si>
  <si>
    <t>5. 'Cash Flow' tracks bank balances, savings, and reserves.</t>
  </si>
  <si>
    <t>6. Update the Dashboard monthly snapshot with your real monthly totals.</t>
  </si>
  <si>
    <t>7. All currency is in USD. Change the company name and period in the yellow cells above.</t>
  </si>
  <si>
    <t>Date</t>
  </si>
  <si>
    <t>Invoice #</t>
  </si>
  <si>
    <t>Client / Job Name</t>
  </si>
  <si>
    <t>Service Type</t>
  </si>
  <si>
    <t>Quantity</t>
  </si>
  <si>
    <t>Unit Price</t>
  </si>
  <si>
    <t>Gross Amount</t>
  </si>
  <si>
    <t>Discount</t>
  </si>
  <si>
    <t>Net Amount</t>
  </si>
  <si>
    <t>Payment Status</t>
  </si>
  <si>
    <t>INV-1001</t>
  </si>
  <si>
    <t>Metro Bank Brochure Run</t>
  </si>
  <si>
    <t>Offset Printing</t>
  </si>
  <si>
    <t>Paid</t>
  </si>
  <si>
    <t>Glossy cover</t>
  </si>
  <si>
    <t>INV-1002</t>
  </si>
  <si>
    <t>City Council Flyers</t>
  </si>
  <si>
    <t>Digital Print</t>
  </si>
  <si>
    <t>A5 flyers</t>
  </si>
  <si>
    <t>INV-1003</t>
  </si>
  <si>
    <t>Sunrise Hotel Menus</t>
  </si>
  <si>
    <t>Offset + Lamination</t>
  </si>
  <si>
    <t>Pending</t>
  </si>
  <si>
    <t>Menu cards</t>
  </si>
  <si>
    <t>INV-1004</t>
  </si>
  <si>
    <t>TechStart Business Cards</t>
  </si>
  <si>
    <t>Premium stock</t>
  </si>
  <si>
    <t>INV-1005</t>
  </si>
  <si>
    <t>GreenLeaf Catalog</t>
  </si>
  <si>
    <t>32-page catalog</t>
  </si>
  <si>
    <t>INV-1006</t>
  </si>
  <si>
    <t>AutoZone Posters</t>
  </si>
  <si>
    <t>Large Format</t>
  </si>
  <si>
    <t>A1 posters</t>
  </si>
  <si>
    <t>INV-1007</t>
  </si>
  <si>
    <t>School Yearbook</t>
  </si>
  <si>
    <t>Offset + Binding</t>
  </si>
  <si>
    <t>Hard cover</t>
  </si>
  <si>
    <t>INV-1008</t>
  </si>
  <si>
    <t>Cafe Loyalty Cards</t>
  </si>
  <si>
    <t>PVC cards</t>
  </si>
  <si>
    <t>INV-1009</t>
  </si>
  <si>
    <t>Real Estate Brochures</t>
  </si>
  <si>
    <t>Tri-fold</t>
  </si>
  <si>
    <t>INV-1010</t>
  </si>
  <si>
    <t>Wedding Invitations</t>
  </si>
  <si>
    <t>Digital + Foil</t>
  </si>
  <si>
    <t>Foil stamping</t>
  </si>
  <si>
    <t>INV-1011</t>
  </si>
  <si>
    <t>Pharma Product Labels</t>
  </si>
  <si>
    <t>Roll labels</t>
  </si>
  <si>
    <t>INV-1012</t>
  </si>
  <si>
    <t>University Handbooks</t>
  </si>
  <si>
    <t>Soft cover</t>
  </si>
  <si>
    <t>INV-1013</t>
  </si>
  <si>
    <t>Retail POS Displays</t>
  </si>
  <si>
    <t>Foam board</t>
  </si>
  <si>
    <t>INV-1014</t>
  </si>
  <si>
    <t>Insurance Forms</t>
  </si>
  <si>
    <t>NCR forms</t>
  </si>
  <si>
    <t>INV-1015</t>
  </si>
  <si>
    <t>Restaurant Takeout Menus</t>
  </si>
  <si>
    <t>Waterproof</t>
  </si>
  <si>
    <t>TOTALS</t>
  </si>
  <si>
    <t>PAYMENT STATUS SUMMARY</t>
  </si>
  <si>
    <t>Status</t>
  </si>
  <si>
    <t>Count</t>
  </si>
  <si>
    <t>Total Amount</t>
  </si>
  <si>
    <t>Overdue</t>
  </si>
  <si>
    <t>Ref / Invoice</t>
  </si>
  <si>
    <t>Vendor / Supplier</t>
  </si>
  <si>
    <t>Category</t>
  </si>
  <si>
    <t>Description</t>
  </si>
  <si>
    <t>Amount</t>
  </si>
  <si>
    <t>Tax / VAT</t>
  </si>
  <si>
    <t>Total</t>
  </si>
  <si>
    <t>PO-501</t>
  </si>
  <si>
    <t>PaperWorld Supplies</t>
  </si>
  <si>
    <t>Paper &amp; Substrates</t>
  </si>
  <si>
    <t>A4 Glossy 150gsm - 50 reams</t>
  </si>
  <si>
    <t>Monthly stock</t>
  </si>
  <si>
    <t>PO-502</t>
  </si>
  <si>
    <t>InkPro Ltd</t>
  </si>
  <si>
    <t>Ink &amp; Toners</t>
  </si>
  <si>
    <t>CMYK process inks set</t>
  </si>
  <si>
    <t>Offset inks</t>
  </si>
  <si>
    <t>UTIL-1001</t>
  </si>
  <si>
    <t>City Power Co</t>
  </si>
  <si>
    <t>Utilities - Electricity</t>
  </si>
  <si>
    <t>September electricity bill</t>
  </si>
  <si>
    <t>High usage month</t>
  </si>
  <si>
    <t>RENT-10</t>
  </si>
  <si>
    <t>Prime Properties</t>
  </si>
  <si>
    <t>Rent / Facility</t>
  </si>
  <si>
    <t>October warehouse rent</t>
  </si>
  <si>
    <t>Main facility</t>
  </si>
  <si>
    <t>PO-503</t>
  </si>
  <si>
    <t>ChemPrint Inc</t>
  </si>
  <si>
    <t>Chemicals &amp; Plates</t>
  </si>
  <si>
    <t>Fountain solution + plates</t>
  </si>
  <si>
    <t>CTP plates</t>
  </si>
  <si>
    <t>MAINT-88</t>
  </si>
  <si>
    <t>PressCare Services</t>
  </si>
  <si>
    <t>Equipment Maintenance</t>
  </si>
  <si>
    <t>Heidelberg press service</t>
  </si>
  <si>
    <t>Quarterly service</t>
  </si>
  <si>
    <t>INS-2026</t>
  </si>
  <si>
    <t>SafeGuard Insurance</t>
  </si>
  <si>
    <t>Insurance</t>
  </si>
  <si>
    <t>Annual equipment insurance (1/12)</t>
  </si>
  <si>
    <t>Monthly portion</t>
  </si>
  <si>
    <t>DEL-301</t>
  </si>
  <si>
    <t>FastFreight Logistics</t>
  </si>
  <si>
    <t>Transportation &amp; Delivery</t>
  </si>
  <si>
    <t>Client deliveries - Week 1</t>
  </si>
  <si>
    <t>Local + regional</t>
  </si>
  <si>
    <t>MKT-45</t>
  </si>
  <si>
    <t>Local Ads Media</t>
  </si>
  <si>
    <t>Marketing &amp; Advertising</t>
  </si>
  <si>
    <t>Google Ads + flyer campaign</t>
  </si>
  <si>
    <t>Lead gen</t>
  </si>
  <si>
    <t>PO-504</t>
  </si>
  <si>
    <t>Cardstock 300gsm - 20 packs</t>
  </si>
  <si>
    <t>Business cards</t>
  </si>
  <si>
    <t>SOFT-12</t>
  </si>
  <si>
    <t>Adobe / PrintSoft</t>
  </si>
  <si>
    <t>Software &amp; Licenses</t>
  </si>
  <si>
    <t>Adobe CC + RIP software</t>
  </si>
  <si>
    <t>Monthly sub</t>
  </si>
  <si>
    <t>UTIL-1002</t>
  </si>
  <si>
    <t>Water &amp; Gas Co</t>
  </si>
  <si>
    <t>Utilities - Other</t>
  </si>
  <si>
    <t>Water + gas bill</t>
  </si>
  <si>
    <t>PO-505</t>
  </si>
  <si>
    <t>Digital toner cartridges</t>
  </si>
  <si>
    <t>HP Indigo</t>
  </si>
  <si>
    <t>OFF-22</t>
  </si>
  <si>
    <t>OfficeMart</t>
  </si>
  <si>
    <t>Office Supplies</t>
  </si>
  <si>
    <t>Stationery &amp; packing materials</t>
  </si>
  <si>
    <t>ACCT-09</t>
  </si>
  <si>
    <t>Johnson &amp; Co CPAs</t>
  </si>
  <si>
    <t>Professional Fees</t>
  </si>
  <si>
    <t>Bookkeeping - September</t>
  </si>
  <si>
    <t>Monthly retainer</t>
  </si>
  <si>
    <t>DEL-302</t>
  </si>
  <si>
    <t>Client deliveries - Week 2</t>
  </si>
  <si>
    <t>PO-506</t>
  </si>
  <si>
    <t>Specialty textured paper</t>
  </si>
  <si>
    <t>Wedding inv.</t>
  </si>
  <si>
    <t>EXPENSE BY CATEGORY</t>
  </si>
  <si>
    <t>% of Total</t>
  </si>
  <si>
    <t>Miscellaneous</t>
  </si>
  <si>
    <t>Depreciation</t>
  </si>
  <si>
    <t>OUTSTANDING PAYABLES (Pending)</t>
  </si>
  <si>
    <t>Total Pending:</t>
  </si>
  <si>
    <t>Pay Period:</t>
  </si>
  <si>
    <t>October 1–31, 2026</t>
  </si>
  <si>
    <t>Pay Date:</t>
  </si>
  <si>
    <t>#</t>
  </si>
  <si>
    <t>Employee Name</t>
  </si>
  <si>
    <t>Position / Role</t>
  </si>
  <si>
    <t>Employment Type</t>
  </si>
  <si>
    <t>Basic Salary</t>
  </si>
  <si>
    <t>Overtime</t>
  </si>
  <si>
    <t>Allowances</t>
  </si>
  <si>
    <t>Gross Pay</t>
  </si>
  <si>
    <t>Tax / Deductions</t>
  </si>
  <si>
    <t>Other Deduct.</t>
  </si>
  <si>
    <t>Net Pay</t>
  </si>
  <si>
    <t>Payment Method</t>
  </si>
  <si>
    <t>Press Operator (Lead)</t>
  </si>
  <si>
    <t>Full-time</t>
  </si>
  <si>
    <t>Bank Transfer</t>
  </si>
  <si>
    <t>Graphic Designer</t>
  </si>
  <si>
    <t>Prepress / CTP</t>
  </si>
  <si>
    <t>Sales &amp; Customer Svc</t>
  </si>
  <si>
    <t>Part-time</t>
  </si>
  <si>
    <t>PAYROLL SUMMARY</t>
  </si>
  <si>
    <t>Total Gross Payroll:</t>
  </si>
  <si>
    <t>Full-time Staff:</t>
  </si>
  <si>
    <t>Total Deductions:</t>
  </si>
  <si>
    <t>Part-time Staff:</t>
  </si>
  <si>
    <t>Total Net Pay:</t>
  </si>
  <si>
    <t>Headcount:</t>
  </si>
  <si>
    <t>Period:</t>
  </si>
  <si>
    <t>Currency:</t>
  </si>
  <si>
    <t>USD ($)</t>
  </si>
  <si>
    <t>% of Revenue</t>
  </si>
  <si>
    <t>REVENUE</t>
  </si>
  <si>
    <t>Offset Printing Services</t>
  </si>
  <si>
    <t>Digital Printing Services</t>
  </si>
  <si>
    <t>Large Format Printing</t>
  </si>
  <si>
    <t>Binding &amp; Finishing</t>
  </si>
  <si>
    <t>Design &amp; Prepress Services</t>
  </si>
  <si>
    <t>Other Income</t>
  </si>
  <si>
    <t>COST OF GOODS SOLD (COGS)</t>
  </si>
  <si>
    <t>Ink, Toners &amp; Chemicals</t>
  </si>
  <si>
    <t>Plates &amp; Consumables</t>
  </si>
  <si>
    <t>Direct Labor (Production OT)</t>
  </si>
  <si>
    <t>Total COGS</t>
  </si>
  <si>
    <t>TOTAL REVENUE</t>
  </si>
  <si>
    <t>GROSS PROFIT</t>
  </si>
  <si>
    <t>OPERATING EXPENSES</t>
  </si>
  <si>
    <t>Salaries &amp; Wages (Net of OT in COGS)</t>
  </si>
  <si>
    <t>Utilities (Electricity + Other)</t>
  </si>
  <si>
    <t>Miscellaneous / Other</t>
  </si>
  <si>
    <t>Total Operating Expenses</t>
  </si>
  <si>
    <t>NET PROFIT / (LOSS)</t>
  </si>
  <si>
    <t>Net Profit Margin</t>
  </si>
  <si>
    <t>NOTES</t>
  </si>
  <si>
    <t>• Yellow cells are editable inputs. Update them monthly from Revenue, Expenses, and Payroll sheets.</t>
  </si>
  <si>
    <t>• Gross Profit = Total Revenue − Cost of Goods Sold (direct production costs).</t>
  </si>
  <si>
    <t>• Net Profit = Gross Profit − Operating Expenses (including salaries).</t>
  </si>
  <si>
    <t>• Link COGS paper/ink totals from the Expenses sheet category summary for accuracy.</t>
  </si>
  <si>
    <t>• Salaries figure should match the Payroll sheet Gross Pay total (adjust OT allocation as needed).</t>
  </si>
  <si>
    <t>As of:</t>
  </si>
  <si>
    <t>OPENING BALANCES</t>
  </si>
  <si>
    <t>Account</t>
  </si>
  <si>
    <t>Opening Balance</t>
  </si>
  <si>
    <t>Operating Bank Account</t>
  </si>
  <si>
    <t>Main business account</t>
  </si>
  <si>
    <t>Petty Cash</t>
  </si>
  <si>
    <t>Office float</t>
  </si>
  <si>
    <t>Savings / Reserve Account</t>
  </si>
  <si>
    <t>Emergency &amp; growth fund</t>
  </si>
  <si>
    <t>Tax Reserve Account</t>
  </si>
  <si>
    <t>VAT / tax set-aside</t>
  </si>
  <si>
    <t>Total Opening Cash</t>
  </si>
  <si>
    <t>CASH MOVEMENTS — THIS MONTH</t>
  </si>
  <si>
    <t>Inflows</t>
  </si>
  <si>
    <t>Outflows</t>
  </si>
  <si>
    <t>Net</t>
  </si>
  <si>
    <t>Customer Receipts (Paid Invoices)</t>
  </si>
  <si>
    <t>Other Income Received</t>
  </si>
  <si>
    <t>Supplier Payments</t>
  </si>
  <si>
    <t>Payroll / Salaries Paid</t>
  </si>
  <si>
    <t>Rent &amp; Utilities Paid</t>
  </si>
  <si>
    <t>Other Operating Payments</t>
  </si>
  <si>
    <t>Transfer to Savings</t>
  </si>
  <si>
    <t>Owner Drawings</t>
  </si>
  <si>
    <t>Net Cash Movement</t>
  </si>
  <si>
    <t>CLOSING BALANCES</t>
  </si>
  <si>
    <t>Closing Balance</t>
  </si>
  <si>
    <t>Change</t>
  </si>
  <si>
    <t>TOTAL CLOSING CASH</t>
  </si>
  <si>
    <t>SAVINGS GOALS &amp; RESERVES</t>
  </si>
  <si>
    <t>Goal</t>
  </si>
  <si>
    <t>Target</t>
  </si>
  <si>
    <t>Current</t>
  </si>
  <si>
    <t>% Achieved</t>
  </si>
  <si>
    <t>Emergency Fund (3 months opex)</t>
  </si>
  <si>
    <t>Equipment Replacement Fund</t>
  </si>
  <si>
    <t>Growth / Expansion Fund</t>
  </si>
  <si>
    <t>Tax Reserve Buffer</t>
  </si>
  <si>
    <t>CHART DATA &amp; QUICK REFERENCE</t>
  </si>
  <si>
    <t>This sheet holds summary data used for charts and quick lookups.</t>
  </si>
  <si>
    <t>Expense Categories (for charts)</t>
  </si>
  <si>
    <t>Ink &amp; Chemicals</t>
  </si>
  <si>
    <t>Utilities</t>
  </si>
  <si>
    <t>Rent</t>
  </si>
  <si>
    <t>Maintenance</t>
  </si>
  <si>
    <t>Transport</t>
  </si>
  <si>
    <t>Marketing</t>
  </si>
  <si>
    <t>Other OpEx</t>
  </si>
  <si>
    <t>Monthly Trend (from Dashboard)</t>
  </si>
  <si>
    <t>Baig Press Haripur</t>
  </si>
  <si>
    <r>
      <t xml:space="preserve">BAIG </t>
    </r>
    <r>
      <rPr>
        <b/>
        <sz val="18"/>
        <color rgb="FFFF0000"/>
        <rFont val="Arial"/>
        <family val="2"/>
      </rPr>
      <t>Press</t>
    </r>
    <r>
      <rPr>
        <b/>
        <sz val="18"/>
        <color rgb="FFFFFFFF"/>
        <rFont val="Arial"/>
        <family val="2"/>
      </rPr>
      <t xml:space="preserve"> — FINANCIAL DASHBOARD</t>
    </r>
  </si>
  <si>
    <r>
      <t>EXPENSE TRACKER — BAIG</t>
    </r>
    <r>
      <rPr>
        <b/>
        <sz val="18"/>
        <color rgb="FFFF0000"/>
        <rFont val="Arial"/>
        <family val="2"/>
      </rPr>
      <t>Press</t>
    </r>
  </si>
  <si>
    <r>
      <t>PAYROLL &amp; SALARIES — BAIG</t>
    </r>
    <r>
      <rPr>
        <b/>
        <sz val="18"/>
        <color rgb="FFFF0000"/>
        <rFont val="Arial"/>
        <family val="2"/>
      </rPr>
      <t>Press</t>
    </r>
  </si>
  <si>
    <r>
      <t>PROFIT &amp; LOSS STATEMENT — BAIG</t>
    </r>
    <r>
      <rPr>
        <b/>
        <sz val="18"/>
        <color rgb="FFFF0000"/>
        <rFont val="Arial"/>
        <family val="2"/>
      </rPr>
      <t>Press</t>
    </r>
  </si>
  <si>
    <r>
      <t>CASH FLOW &amp; SAVINGS TRACKER — BAIG</t>
    </r>
    <r>
      <rPr>
        <b/>
        <sz val="18"/>
        <color rgb="FFFF0000"/>
        <rFont val="Arial"/>
        <family val="2"/>
      </rPr>
      <t>Press</t>
    </r>
  </si>
  <si>
    <t>Sheets included:</t>
  </si>
  <si>
    <t>Sheet</t>
  </si>
  <si>
    <t>Purpose</t>
  </si>
  <si>
    <t>Dashboard</t>
  </si>
  <si>
    <t>Overview of KPIs (Revenue, Expenses, Gross/Net Profit, Salaries, Cash/Savings), monthly snapshot, and instructions</t>
  </si>
  <si>
    <t>Job/invoice log with Date, Invoice #, Client, Service Type, Qty, Unit Price, Gross/Net Amount, Payment Status</t>
  </si>
  <si>
    <t>Full expense tracker (Paper, Ink, Chemicals, Utilities, Rent, Maintenance, Transport, Marketing, etc.) + category summary + outstanding payables</t>
  </si>
  <si>
    <t>Payroll</t>
  </si>
  <si>
    <t>Employee salaries with Basic Pay, Overtime, Allowances, Tax/Deductions, Net Pay, Payment Method &amp; Status</t>
  </si>
  <si>
    <t>Monthly P&amp;L</t>
  </si>
  <si>
    <t>Profit &amp; Loss statement (Revenue → COGS → Gross Profit → Operating Expenses → Net Profit + margins)</t>
  </si>
  <si>
    <t>Cash Flow</t>
  </si>
  <si>
    <t>Opening/closing balances, cash movements, savings goals &amp; reserves</t>
  </si>
  <si>
    <t>Chart Data</t>
  </si>
  <si>
    <t>Pie chart (expense breakdown) + line chart (Revenue vs Expenses vs Profit trend)</t>
  </si>
  <si>
    <t>Key features:</t>
  </si>
  <si>
    <t>Dropdown lists for Service Type, Payment Status, Expense Category, Employment Type</t>
  </si>
  <si>
    <t>Sample data for October 2026 so you can see how it works</t>
  </si>
  <si>
    <t>Ready for monthly use — just update the yellow input cells</t>
  </si>
  <si>
    <t>You can replace the sample data with your actual numbers. The Dashboard and P&amp;L will update automatically once the formulas recalculate in Excel.</t>
  </si>
  <si>
    <t>Black text = formulas (auto-calculate totals, net pay, profit, etc.)</t>
  </si>
  <si>
    <r>
      <rPr>
        <sz val="11"/>
        <color rgb="FF0070C0"/>
        <rFont val="Calibri"/>
        <family val="2"/>
        <scheme val="minor"/>
      </rPr>
      <t>Blue text</t>
    </r>
    <r>
      <rPr>
        <sz val="11"/>
        <color theme="1"/>
        <rFont val="Calibri"/>
        <family val="2"/>
        <scheme val="minor"/>
      </rPr>
      <t xml:space="preserve"> + yellow cells = editable inputs (enter your real figures here)</t>
    </r>
  </si>
  <si>
    <t>Iftikhar Baig</t>
  </si>
  <si>
    <t>Zulkifl Rabani</t>
  </si>
  <si>
    <t>Eisha Pervez</t>
  </si>
  <si>
    <t>Accountant</t>
  </si>
  <si>
    <t>Ahmed Shah</t>
  </si>
  <si>
    <t>Abdul Mohiz Baig</t>
  </si>
  <si>
    <t>Uziafa Baig</t>
  </si>
  <si>
    <t>Laser Print Tech</t>
  </si>
  <si>
    <r>
      <t>REVENUE &amp; JOB LOG — BAIG</t>
    </r>
    <r>
      <rPr>
        <b/>
        <sz val="18"/>
        <color rgb="FFFF0000"/>
        <rFont val="Arial"/>
        <family val="2"/>
      </rPr>
      <t>Press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</si>
</sst>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;\(\$#,##0.00\);&quot;-&quot;"/>
    <numFmt numFmtId="165" formatCode="0.0%"/>
    <numFmt numFmtId="166" formatCode="yyyy\-mm\-dd"/>
  </numFmts>
  <fonts count="12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1"/>
      <name val="Arial"/>
    </font>
    <font>
      <sz val="10"/>
      <color rgb="FF0000FF"/>
      <name val="Arial"/>
    </font>
    <font>
      <sz val="10"/>
      <name val="Arial"/>
    </font>
    <font>
      <b/>
      <sz val="12"/>
      <color rgb="FFFFFFFF"/>
      <name val="Arial"/>
    </font>
    <font>
      <b/>
      <sz val="11"/>
      <color rgb="FF1F4E79"/>
      <name val="Arial"/>
    </font>
    <font>
      <sz val="10"/>
      <color rgb="FF000000"/>
      <name val="Arial"/>
    </font>
    <font>
      <b/>
      <sz val="10"/>
      <name val="Arial"/>
    </font>
    <font>
      <b/>
      <sz val="18"/>
      <color rgb="FFFF0000"/>
      <name val="Arial"/>
      <family val="2"/>
    </font>
    <font>
      <b/>
      <sz val="18"/>
      <color rgb="FFFFFFFF"/>
      <name val="Arial"/>
      <family val="2"/>
    </font>
    <font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D6EAF8"/>
      </patternFill>
    </fill>
    <fill>
      <patternFill patternType="solid">
        <fgColor rgb="FFFFC7CE"/>
      </patternFill>
    </fill>
    <fill>
      <patternFill patternType="solid">
        <fgColor rgb="FFC00000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3" fillId="3" borderId="1" xfId="0" applyFont="1" applyFill="1" applyBorder="1"/>
    <xf numFmtId="0" fontId="4" fillId="0" borderId="1" xfId="0" applyFont="1" applyBorder="1"/>
    <xf numFmtId="0" fontId="5" fillId="4" borderId="1" xfId="0" applyFont="1" applyFill="1" applyBorder="1"/>
    <xf numFmtId="0" fontId="0" fillId="4" borderId="1" xfId="0" applyFill="1" applyBorder="1"/>
    <xf numFmtId="0" fontId="6" fillId="5" borderId="1" xfId="0" applyFont="1" applyFill="1" applyBorder="1"/>
    <xf numFmtId="0" fontId="2" fillId="6" borderId="1" xfId="0" applyFont="1" applyFill="1" applyBorder="1"/>
    <xf numFmtId="164" fontId="7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/>
    <xf numFmtId="0" fontId="2" fillId="8" borderId="1" xfId="0" applyFont="1" applyFill="1" applyBorder="1"/>
    <xf numFmtId="165" fontId="7" fillId="0" borderId="1" xfId="0" applyNumberFormat="1" applyFont="1" applyBorder="1" applyAlignment="1">
      <alignment horizontal="center" vertical="center" wrapText="1"/>
    </xf>
    <xf numFmtId="0" fontId="2" fillId="9" borderId="1" xfId="0" applyFont="1" applyFill="1" applyBorder="1"/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8" fillId="8" borderId="1" xfId="0" applyFont="1" applyFill="1" applyBorder="1"/>
    <xf numFmtId="164" fontId="8" fillId="8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166" fontId="3" fillId="0" borderId="1" xfId="0" applyNumberFormat="1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Border="1"/>
    <xf numFmtId="0" fontId="0" fillId="8" borderId="0" xfId="0" applyFill="1"/>
    <xf numFmtId="3" fontId="8" fillId="8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8" borderId="1" xfId="0" applyFill="1" applyBorder="1"/>
    <xf numFmtId="165" fontId="7" fillId="0" borderId="1" xfId="0" applyNumberFormat="1" applyFont="1" applyBorder="1"/>
    <xf numFmtId="0" fontId="2" fillId="0" borderId="1" xfId="0" applyFont="1" applyBorder="1"/>
    <xf numFmtId="164" fontId="7" fillId="9" borderId="1" xfId="0" applyNumberFormat="1" applyFont="1" applyFill="1" applyBorder="1"/>
    <xf numFmtId="166" fontId="3" fillId="3" borderId="1" xfId="0" applyNumberFormat="1" applyFont="1" applyFill="1" applyBorder="1"/>
    <xf numFmtId="0" fontId="7" fillId="0" borderId="1" xfId="0" applyFont="1" applyBorder="1"/>
    <xf numFmtId="164" fontId="7" fillId="6" borderId="1" xfId="0" applyNumberFormat="1" applyFont="1" applyFill="1" applyBorder="1"/>
    <xf numFmtId="0" fontId="5" fillId="2" borderId="1" xfId="0" applyFont="1" applyFill="1" applyBorder="1"/>
    <xf numFmtId="164" fontId="3" fillId="3" borderId="1" xfId="0" applyNumberFormat="1" applyFont="1" applyFill="1" applyBorder="1"/>
    <xf numFmtId="0" fontId="5" fillId="7" borderId="1" xfId="0" applyFont="1" applyFill="1" applyBorder="1"/>
    <xf numFmtId="0" fontId="0" fillId="7" borderId="1" xfId="0" applyFill="1" applyBorder="1"/>
    <xf numFmtId="0" fontId="8" fillId="5" borderId="1" xfId="0" applyFont="1" applyFill="1" applyBorder="1"/>
    <xf numFmtId="164" fontId="8" fillId="5" borderId="1" xfId="0" applyNumberFormat="1" applyFont="1" applyFill="1" applyBorder="1" applyAlignment="1">
      <alignment horizontal="center" vertical="center" wrapText="1"/>
    </xf>
    <xf numFmtId="165" fontId="8" fillId="5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/>
    <xf numFmtId="164" fontId="8" fillId="6" borderId="1" xfId="0" applyNumberFormat="1" applyFont="1" applyFill="1" applyBorder="1" applyAlignment="1">
      <alignment horizontal="center" vertical="center" wrapText="1"/>
    </xf>
    <xf numFmtId="165" fontId="8" fillId="6" borderId="1" xfId="0" applyNumberFormat="1" applyFont="1" applyFill="1" applyBorder="1" applyAlignment="1">
      <alignment horizontal="center" vertical="center" wrapText="1"/>
    </xf>
    <xf numFmtId="0" fontId="8" fillId="6" borderId="4" xfId="0" applyFont="1" applyFill="1" applyBorder="1"/>
    <xf numFmtId="164" fontId="8" fillId="6" borderId="4" xfId="0" applyNumberFormat="1" applyFont="1" applyFill="1" applyBorder="1"/>
    <xf numFmtId="165" fontId="8" fillId="6" borderId="4" xfId="0" applyNumberFormat="1" applyFont="1" applyFill="1" applyBorder="1"/>
    <xf numFmtId="0" fontId="5" fillId="2" borderId="4" xfId="0" applyFont="1" applyFill="1" applyBorder="1"/>
    <xf numFmtId="164" fontId="5" fillId="2" borderId="4" xfId="0" applyNumberFormat="1" applyFont="1" applyFill="1" applyBorder="1"/>
    <xf numFmtId="165" fontId="5" fillId="2" borderId="4" xfId="0" applyNumberFormat="1" applyFont="1" applyFill="1" applyBorder="1"/>
    <xf numFmtId="165" fontId="7" fillId="6" borderId="1" xfId="0" applyNumberFormat="1" applyFont="1" applyFill="1" applyBorder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5" fillId="2" borderId="0" xfId="0" applyFont="1" applyFill="1"/>
    <xf numFmtId="0" fontId="0" fillId="2" borderId="0" xfId="0" applyFill="1"/>
    <xf numFmtId="0" fontId="4" fillId="0" borderId="0" xfId="0" applyFont="1"/>
    <xf numFmtId="0" fontId="0" fillId="0" borderId="0" xfId="0"/>
    <xf numFmtId="0" fontId="5" fillId="4" borderId="1" xfId="0" applyFont="1" applyFill="1" applyBorder="1"/>
    <xf numFmtId="0" fontId="0" fillId="4" borderId="1" xfId="0" applyFill="1" applyBorder="1"/>
    <xf numFmtId="0" fontId="6" fillId="5" borderId="1" xfId="0" applyFont="1" applyFill="1" applyBorder="1"/>
    <xf numFmtId="0" fontId="5" fillId="4" borderId="0" xfId="0" applyFont="1" applyFill="1"/>
    <xf numFmtId="0" fontId="0" fillId="4" borderId="0" xfId="0" applyFill="1"/>
    <xf numFmtId="0" fontId="5" fillId="10" borderId="0" xfId="0" applyFont="1" applyFill="1"/>
    <xf numFmtId="0" fontId="0" fillId="10" borderId="0" xfId="0" applyFill="1"/>
    <xf numFmtId="0" fontId="5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Expense Breakdown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Data'!$C$6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Data'!$B$7:$B$15</c:f>
              <c:strCache>
                <c:ptCount val="9"/>
                <c:pt idx="0">
                  <c:v>Paper &amp; Substrates</c:v>
                </c:pt>
                <c:pt idx="1">
                  <c:v>Ink &amp; Chemicals</c:v>
                </c:pt>
                <c:pt idx="2">
                  <c:v>Utilities</c:v>
                </c:pt>
                <c:pt idx="3">
                  <c:v>Rent</c:v>
                </c:pt>
                <c:pt idx="4">
                  <c:v>Salaries</c:v>
                </c:pt>
                <c:pt idx="5">
                  <c:v>Maintenance</c:v>
                </c:pt>
                <c:pt idx="6">
                  <c:v>Transport</c:v>
                </c:pt>
                <c:pt idx="7">
                  <c:v>Marketing</c:v>
                </c:pt>
                <c:pt idx="8">
                  <c:v>Other OpEx</c:v>
                </c:pt>
              </c:strCache>
            </c:strRef>
          </c:cat>
          <c:val>
            <c:numRef>
              <c:f>'Chart Data'!$C$7:$C$15</c:f>
              <c:numCache>
                <c:formatCode>\$#,##0.00;\(\$#,##0.00\);"-"</c:formatCode>
                <c:ptCount val="9"/>
                <c:pt idx="0">
                  <c:v>2960</c:v>
                </c:pt>
                <c:pt idx="1">
                  <c:v>2464</c:v>
                </c:pt>
                <c:pt idx="2">
                  <c:v>2660</c:v>
                </c:pt>
                <c:pt idx="3">
                  <c:v>4500</c:v>
                </c:pt>
                <c:pt idx="4">
                  <c:v>18720</c:v>
                </c:pt>
                <c:pt idx="5">
                  <c:v>1320</c:v>
                </c:pt>
                <c:pt idx="6">
                  <c:v>880</c:v>
                </c:pt>
                <c:pt idx="7">
                  <c:v>605</c:v>
                </c:pt>
                <c:pt idx="8">
                  <c:v>881.5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B-43F3-B1D1-AB6B93A8502A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vs Expenses vs Profit (YTD)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'Chart Data'!$C$19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'Chart Data'!$B$20:$B$29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'Chart Data'!$C$20:$C$29</c:f>
              <c:numCache>
                <c:formatCode>\$#,##0.00;\(\$#,##0.00\);"-"</c:formatCode>
                <c:ptCount val="10"/>
                <c:pt idx="0">
                  <c:v>48500</c:v>
                </c:pt>
                <c:pt idx="1">
                  <c:v>51200</c:v>
                </c:pt>
                <c:pt idx="2">
                  <c:v>47800</c:v>
                </c:pt>
                <c:pt idx="3">
                  <c:v>53400</c:v>
                </c:pt>
                <c:pt idx="4">
                  <c:v>56100</c:v>
                </c:pt>
                <c:pt idx="5">
                  <c:v>52900</c:v>
                </c:pt>
                <c:pt idx="6">
                  <c:v>49500</c:v>
                </c:pt>
                <c:pt idx="7">
                  <c:v>54800</c:v>
                </c:pt>
                <c:pt idx="8">
                  <c:v>58200</c:v>
                </c:pt>
                <c:pt idx="9">
                  <c:v>61500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3A-4324-9384-3CEDE0B8E32C}"/>
            </c:ext>
          </c:extLst>
        </c:ser>
        <c:ser>
          <c:idx val="1"/>
          <c:order val="1"/>
          <c:tx>
            <c:strRef>
              <c:f>'Chart Data'!$D$19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'Chart Data'!$B$20:$B$29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'Chart Data'!$D$20:$D$29</c:f>
              <c:numCache>
                <c:formatCode>\$#,##0.00;\(\$#,##0.00\);"-"</c:formatCode>
                <c:ptCount val="10"/>
                <c:pt idx="0">
                  <c:v>49700</c:v>
                </c:pt>
                <c:pt idx="1">
                  <c:v>48300</c:v>
                </c:pt>
                <c:pt idx="2">
                  <c:v>51000</c:v>
                </c:pt>
                <c:pt idx="3">
                  <c:v>49100</c:v>
                </c:pt>
                <c:pt idx="4">
                  <c:v>50800</c:v>
                </c:pt>
                <c:pt idx="5">
                  <c:v>52200</c:v>
                </c:pt>
                <c:pt idx="6">
                  <c:v>50400</c:v>
                </c:pt>
                <c:pt idx="7">
                  <c:v>51600</c:v>
                </c:pt>
                <c:pt idx="8">
                  <c:v>53000</c:v>
                </c:pt>
                <c:pt idx="9">
                  <c:v>54800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33A-4324-9384-3CEDE0B8E32C}"/>
            </c:ext>
          </c:extLst>
        </c:ser>
        <c:ser>
          <c:idx val="2"/>
          <c:order val="2"/>
          <c:tx>
            <c:strRef>
              <c:f>'Chart Data'!$E$19</c:f>
              <c:strCache>
                <c:ptCount val="1"/>
                <c:pt idx="0">
                  <c:v>Net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'Chart Data'!$B$20:$B$29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'Chart Data'!$E$20:$E$29</c:f>
              <c:numCache>
                <c:formatCode>\$#,##0.00;\(\$#,##0.00\);"-"</c:formatCode>
                <c:ptCount val="10"/>
                <c:pt idx="0">
                  <c:v>-1200</c:v>
                </c:pt>
                <c:pt idx="1">
                  <c:v>2900</c:v>
                </c:pt>
                <c:pt idx="2">
                  <c:v>-3200</c:v>
                </c:pt>
                <c:pt idx="3">
                  <c:v>4300</c:v>
                </c:pt>
                <c:pt idx="4">
                  <c:v>5300</c:v>
                </c:pt>
                <c:pt idx="5">
                  <c:v>700</c:v>
                </c:pt>
                <c:pt idx="6">
                  <c:v>-900</c:v>
                </c:pt>
                <c:pt idx="7">
                  <c:v>3200</c:v>
                </c:pt>
                <c:pt idx="8">
                  <c:v>5200</c:v>
                </c:pt>
                <c:pt idx="9">
                  <c:v>6700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33A-4324-9384-3CEDE0B8E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($)</a:t>
                </a:r>
              </a:p>
            </c:rich>
          </c:tx>
          <c:overlay val="1"/>
        </c:title>
        <c:numFmt formatCode="\$#,##0.00;\(\$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41"/>
  <sheetViews>
    <sheetView zoomScale="90" zoomScaleNormal="90" workbookViewId="0">
      <selection activeCell="D20" sqref="D20"/>
    </sheetView>
  </sheetViews>
  <sheetFormatPr defaultRowHeight="14.5" x14ac:dyDescent="0.35"/>
  <cols>
    <col min="1" max="1" width="3" customWidth="1"/>
    <col min="2" max="2" width="22" customWidth="1"/>
    <col min="3" max="9" width="16" customWidth="1"/>
    <col min="10" max="10" width="3" customWidth="1"/>
  </cols>
  <sheetData>
    <row r="1" spans="2:9" ht="30" customHeight="1" x14ac:dyDescent="0.35">
      <c r="B1" s="56" t="s">
        <v>319</v>
      </c>
      <c r="C1" s="57"/>
      <c r="D1" s="57"/>
      <c r="E1" s="57"/>
      <c r="F1" s="57"/>
      <c r="G1" s="57"/>
      <c r="H1" s="57"/>
      <c r="I1" s="57"/>
    </row>
    <row r="3" spans="2:9" x14ac:dyDescent="0.35">
      <c r="B3" s="1" t="s">
        <v>0</v>
      </c>
      <c r="C3" s="2" t="s">
        <v>318</v>
      </c>
    </row>
    <row r="4" spans="2:9" x14ac:dyDescent="0.35">
      <c r="B4" s="1" t="s">
        <v>1</v>
      </c>
      <c r="C4" s="2" t="s">
        <v>2</v>
      </c>
    </row>
    <row r="5" spans="2:9" x14ac:dyDescent="0.35">
      <c r="B5" s="1" t="s">
        <v>3</v>
      </c>
      <c r="C5" s="3" t="s">
        <v>4</v>
      </c>
    </row>
    <row r="7" spans="2:9" ht="15.5" x14ac:dyDescent="0.35">
      <c r="B7" s="65" t="s">
        <v>5</v>
      </c>
      <c r="C7" s="66"/>
      <c r="D7" s="66"/>
      <c r="E7" s="66"/>
      <c r="F7" s="66"/>
      <c r="G7" s="66"/>
      <c r="H7" s="66"/>
      <c r="I7" s="66"/>
    </row>
    <row r="8" spans="2:9" x14ac:dyDescent="0.35">
      <c r="B8" s="6" t="s">
        <v>6</v>
      </c>
      <c r="C8" s="6" t="s">
        <v>7</v>
      </c>
      <c r="D8" s="67" t="s">
        <v>8</v>
      </c>
      <c r="E8" s="59"/>
      <c r="F8" s="60"/>
    </row>
    <row r="9" spans="2:9" x14ac:dyDescent="0.35">
      <c r="B9" s="7" t="s">
        <v>9</v>
      </c>
      <c r="C9" s="8">
        <f>'Monthly P&amp;L'!C20</f>
        <v>59000</v>
      </c>
      <c r="D9" s="58" t="s">
        <v>10</v>
      </c>
      <c r="E9" s="59"/>
      <c r="F9" s="60"/>
    </row>
    <row r="10" spans="2:9" x14ac:dyDescent="0.35">
      <c r="B10" s="9" t="s">
        <v>11</v>
      </c>
      <c r="C10" s="8">
        <f>'Monthly P&amp;L'!C36</f>
        <v>30016.5</v>
      </c>
      <c r="D10" s="58" t="s">
        <v>12</v>
      </c>
      <c r="E10" s="59"/>
      <c r="F10" s="60"/>
    </row>
    <row r="11" spans="2:9" x14ac:dyDescent="0.35">
      <c r="B11" s="7" t="s">
        <v>13</v>
      </c>
      <c r="C11" s="8">
        <f>'Monthly P&amp;L'!C22</f>
        <v>51548</v>
      </c>
      <c r="D11" s="58" t="s">
        <v>14</v>
      </c>
      <c r="E11" s="59"/>
      <c r="F11" s="60"/>
    </row>
    <row r="12" spans="2:9" x14ac:dyDescent="0.35">
      <c r="B12" s="7" t="s">
        <v>15</v>
      </c>
      <c r="C12" s="8">
        <f>'Monthly P&amp;L'!C38</f>
        <v>21531.5</v>
      </c>
      <c r="D12" s="58" t="s">
        <v>16</v>
      </c>
      <c r="E12" s="59"/>
      <c r="F12" s="60"/>
    </row>
    <row r="13" spans="2:9" x14ac:dyDescent="0.35">
      <c r="B13" s="10" t="s">
        <v>17</v>
      </c>
      <c r="C13" s="11">
        <f>'Monthly P&amp;L'!C39</f>
        <v>21531.5</v>
      </c>
      <c r="D13" s="58" t="s">
        <v>18</v>
      </c>
      <c r="E13" s="59"/>
      <c r="F13" s="60"/>
    </row>
    <row r="14" spans="2:9" x14ac:dyDescent="0.35">
      <c r="B14" s="9" t="s">
        <v>19</v>
      </c>
      <c r="C14" s="8" t="e">
        <f>Payroll!#REF!</f>
        <v>#REF!</v>
      </c>
      <c r="D14" s="58" t="s">
        <v>20</v>
      </c>
      <c r="E14" s="59"/>
      <c r="F14" s="60"/>
    </row>
    <row r="15" spans="2:9" x14ac:dyDescent="0.35">
      <c r="B15" s="7" t="s">
        <v>21</v>
      </c>
      <c r="C15" s="8">
        <f>'Cash Flow'!G18</f>
        <v>0</v>
      </c>
      <c r="D15" s="58" t="s">
        <v>22</v>
      </c>
      <c r="E15" s="59"/>
      <c r="F15" s="60"/>
    </row>
    <row r="16" spans="2:9" x14ac:dyDescent="0.35">
      <c r="B16" s="12" t="s">
        <v>23</v>
      </c>
      <c r="C16" s="8">
        <f>Expenses!G50</f>
        <v>15974</v>
      </c>
      <c r="D16" s="58" t="s">
        <v>24</v>
      </c>
      <c r="E16" s="59"/>
      <c r="F16" s="60"/>
    </row>
    <row r="18" spans="2:9" ht="15.5" x14ac:dyDescent="0.35">
      <c r="B18" s="68" t="s">
        <v>25</v>
      </c>
      <c r="C18" s="69"/>
      <c r="D18" s="69"/>
      <c r="E18" s="69"/>
      <c r="F18" s="69"/>
      <c r="G18" s="69"/>
      <c r="H18" s="69"/>
      <c r="I18" s="69"/>
    </row>
    <row r="19" spans="2:9" ht="15.5" x14ac:dyDescent="0.35">
      <c r="B19" s="13" t="s">
        <v>26</v>
      </c>
      <c r="C19" s="13" t="s">
        <v>27</v>
      </c>
      <c r="D19" s="13" t="s">
        <v>28</v>
      </c>
      <c r="E19" s="13" t="s">
        <v>29</v>
      </c>
      <c r="F19" s="13" t="s">
        <v>15</v>
      </c>
      <c r="G19" s="13" t="s">
        <v>30</v>
      </c>
    </row>
    <row r="20" spans="2:9" x14ac:dyDescent="0.35">
      <c r="B20" s="14" t="s">
        <v>31</v>
      </c>
      <c r="C20" s="15">
        <v>48500</v>
      </c>
      <c r="D20" s="15">
        <v>31200</v>
      </c>
      <c r="E20" s="15">
        <v>18500</v>
      </c>
      <c r="F20" s="8">
        <f t="shared" ref="F20:F29" si="0">C20-D20-E20</f>
        <v>-1200</v>
      </c>
      <c r="G20" s="15">
        <v>3000</v>
      </c>
    </row>
    <row r="21" spans="2:9" x14ac:dyDescent="0.35">
      <c r="B21" s="14" t="s">
        <v>32</v>
      </c>
      <c r="C21" s="15">
        <v>51200</v>
      </c>
      <c r="D21" s="15">
        <v>29800</v>
      </c>
      <c r="E21" s="15">
        <v>18500</v>
      </c>
      <c r="F21" s="8">
        <f t="shared" si="0"/>
        <v>2900</v>
      </c>
      <c r="G21" s="15">
        <v>3500</v>
      </c>
    </row>
    <row r="22" spans="2:9" x14ac:dyDescent="0.35">
      <c r="B22" s="14" t="s">
        <v>33</v>
      </c>
      <c r="C22" s="15">
        <v>47800</v>
      </c>
      <c r="D22" s="15">
        <v>32500</v>
      </c>
      <c r="E22" s="15">
        <v>18500</v>
      </c>
      <c r="F22" s="8">
        <f t="shared" si="0"/>
        <v>-3200</v>
      </c>
      <c r="G22" s="15">
        <v>2500</v>
      </c>
    </row>
    <row r="23" spans="2:9" x14ac:dyDescent="0.35">
      <c r="B23" s="14" t="s">
        <v>34</v>
      </c>
      <c r="C23" s="15">
        <v>53400</v>
      </c>
      <c r="D23" s="15">
        <v>30100</v>
      </c>
      <c r="E23" s="15">
        <v>19000</v>
      </c>
      <c r="F23" s="8">
        <f t="shared" si="0"/>
        <v>4300</v>
      </c>
      <c r="G23" s="15">
        <v>4000</v>
      </c>
    </row>
    <row r="24" spans="2:9" x14ac:dyDescent="0.35">
      <c r="B24" s="14" t="s">
        <v>35</v>
      </c>
      <c r="C24" s="15">
        <v>56100</v>
      </c>
      <c r="D24" s="15">
        <v>31800</v>
      </c>
      <c r="E24" s="15">
        <v>19000</v>
      </c>
      <c r="F24" s="8">
        <f t="shared" si="0"/>
        <v>5300</v>
      </c>
      <c r="G24" s="15">
        <v>4500</v>
      </c>
    </row>
    <row r="25" spans="2:9" x14ac:dyDescent="0.35">
      <c r="B25" s="14" t="s">
        <v>36</v>
      </c>
      <c r="C25" s="15">
        <v>52900</v>
      </c>
      <c r="D25" s="15">
        <v>33200</v>
      </c>
      <c r="E25" s="15">
        <v>19000</v>
      </c>
      <c r="F25" s="8">
        <f t="shared" si="0"/>
        <v>700</v>
      </c>
      <c r="G25" s="15">
        <v>3200</v>
      </c>
    </row>
    <row r="26" spans="2:9" x14ac:dyDescent="0.35">
      <c r="B26" s="14" t="s">
        <v>37</v>
      </c>
      <c r="C26" s="15">
        <v>49500</v>
      </c>
      <c r="D26" s="15">
        <v>30900</v>
      </c>
      <c r="E26" s="15">
        <v>19500</v>
      </c>
      <c r="F26" s="8">
        <f t="shared" si="0"/>
        <v>-900</v>
      </c>
      <c r="G26" s="15">
        <v>2800</v>
      </c>
    </row>
    <row r="27" spans="2:9" x14ac:dyDescent="0.35">
      <c r="B27" s="14" t="s">
        <v>38</v>
      </c>
      <c r="C27" s="15">
        <v>54800</v>
      </c>
      <c r="D27" s="15">
        <v>32100</v>
      </c>
      <c r="E27" s="15">
        <v>19500</v>
      </c>
      <c r="F27" s="8">
        <f t="shared" si="0"/>
        <v>3200</v>
      </c>
      <c r="G27" s="15">
        <v>3800</v>
      </c>
    </row>
    <row r="28" spans="2:9" x14ac:dyDescent="0.35">
      <c r="B28" s="14" t="s">
        <v>39</v>
      </c>
      <c r="C28" s="15">
        <v>58200</v>
      </c>
      <c r="D28" s="15">
        <v>33500</v>
      </c>
      <c r="E28" s="15">
        <v>19500</v>
      </c>
      <c r="F28" s="8">
        <f t="shared" si="0"/>
        <v>5200</v>
      </c>
      <c r="G28" s="15">
        <v>4200</v>
      </c>
    </row>
    <row r="29" spans="2:9" x14ac:dyDescent="0.35">
      <c r="B29" s="14" t="s">
        <v>40</v>
      </c>
      <c r="C29" s="15">
        <v>61500</v>
      </c>
      <c r="D29" s="15">
        <v>34800</v>
      </c>
      <c r="E29" s="15">
        <v>20000</v>
      </c>
      <c r="F29" s="8">
        <f t="shared" si="0"/>
        <v>6700</v>
      </c>
      <c r="G29" s="15">
        <v>5000</v>
      </c>
    </row>
    <row r="30" spans="2:9" x14ac:dyDescent="0.35">
      <c r="B30" s="14" t="s">
        <v>41</v>
      </c>
      <c r="C30" s="15"/>
      <c r="D30" s="15"/>
      <c r="E30" s="15"/>
      <c r="F30" s="8"/>
      <c r="G30" s="15"/>
    </row>
    <row r="31" spans="2:9" x14ac:dyDescent="0.35">
      <c r="B31" s="14" t="s">
        <v>42</v>
      </c>
      <c r="C31" s="15"/>
      <c r="D31" s="15"/>
      <c r="E31" s="15"/>
      <c r="F31" s="8"/>
      <c r="G31" s="15"/>
    </row>
    <row r="32" spans="2:9" x14ac:dyDescent="0.35">
      <c r="B32" s="16" t="s">
        <v>43</v>
      </c>
      <c r="C32" s="17">
        <f>SUM(C20:C31)</f>
        <v>533900</v>
      </c>
      <c r="D32" s="17">
        <f>SUM(D20:D31)</f>
        <v>319900</v>
      </c>
      <c r="E32" s="17">
        <f>SUM(E20:E31)</f>
        <v>191000</v>
      </c>
      <c r="F32" s="17">
        <f>SUM(F20:F31)</f>
        <v>23000</v>
      </c>
      <c r="G32" s="17">
        <f>SUM(G20:G31)</f>
        <v>36500</v>
      </c>
    </row>
    <row r="34" spans="2:9" ht="15.5" x14ac:dyDescent="0.35">
      <c r="B34" s="61" t="s">
        <v>44</v>
      </c>
      <c r="C34" s="62"/>
      <c r="D34" s="62"/>
      <c r="E34" s="62"/>
      <c r="F34" s="62"/>
      <c r="G34" s="62"/>
      <c r="H34" s="62"/>
      <c r="I34" s="62"/>
    </row>
    <row r="35" spans="2:9" x14ac:dyDescent="0.35">
      <c r="B35" s="63" t="s">
        <v>45</v>
      </c>
      <c r="C35" s="64"/>
      <c r="D35" s="64"/>
      <c r="E35" s="64"/>
      <c r="F35" s="64"/>
      <c r="G35" s="64"/>
      <c r="H35" s="64"/>
    </row>
    <row r="36" spans="2:9" x14ac:dyDescent="0.35">
      <c r="B36" s="63" t="s">
        <v>46</v>
      </c>
      <c r="C36" s="64"/>
      <c r="D36" s="64"/>
      <c r="E36" s="64"/>
      <c r="F36" s="64"/>
      <c r="G36" s="64"/>
      <c r="H36" s="64"/>
    </row>
    <row r="37" spans="2:9" x14ac:dyDescent="0.35">
      <c r="B37" s="63" t="s">
        <v>47</v>
      </c>
      <c r="C37" s="64"/>
      <c r="D37" s="64"/>
      <c r="E37" s="64"/>
      <c r="F37" s="64"/>
      <c r="G37" s="64"/>
      <c r="H37" s="64"/>
    </row>
    <row r="38" spans="2:9" x14ac:dyDescent="0.35">
      <c r="B38" s="63" t="s">
        <v>48</v>
      </c>
      <c r="C38" s="64"/>
      <c r="D38" s="64"/>
      <c r="E38" s="64"/>
      <c r="F38" s="64"/>
      <c r="G38" s="64"/>
      <c r="H38" s="64"/>
    </row>
    <row r="39" spans="2:9" x14ac:dyDescent="0.35">
      <c r="B39" s="63" t="s">
        <v>49</v>
      </c>
      <c r="C39" s="64"/>
      <c r="D39" s="64"/>
      <c r="E39" s="64"/>
      <c r="F39" s="64"/>
      <c r="G39" s="64"/>
      <c r="H39" s="64"/>
    </row>
    <row r="40" spans="2:9" x14ac:dyDescent="0.35">
      <c r="B40" s="63" t="s">
        <v>50</v>
      </c>
      <c r="C40" s="64"/>
      <c r="D40" s="64"/>
      <c r="E40" s="64"/>
      <c r="F40" s="64"/>
      <c r="G40" s="64"/>
      <c r="H40" s="64"/>
    </row>
    <row r="41" spans="2:9" x14ac:dyDescent="0.35">
      <c r="B41" s="63" t="s">
        <v>51</v>
      </c>
      <c r="C41" s="64"/>
      <c r="D41" s="64"/>
      <c r="E41" s="64"/>
      <c r="F41" s="64"/>
      <c r="G41" s="64"/>
      <c r="H41" s="64"/>
    </row>
  </sheetData>
  <mergeCells count="20">
    <mergeCell ref="B41:H41"/>
    <mergeCell ref="B35:H35"/>
    <mergeCell ref="D12:F12"/>
    <mergeCell ref="D9:F9"/>
    <mergeCell ref="D8:F8"/>
    <mergeCell ref="D11:F11"/>
    <mergeCell ref="D13:F13"/>
    <mergeCell ref="B40:H40"/>
    <mergeCell ref="D16:F16"/>
    <mergeCell ref="B18:I18"/>
    <mergeCell ref="B36:H36"/>
    <mergeCell ref="B1:I1"/>
    <mergeCell ref="D15:F15"/>
    <mergeCell ref="D14:F14"/>
    <mergeCell ref="B34:I34"/>
    <mergeCell ref="B39:H39"/>
    <mergeCell ref="D10:F10"/>
    <mergeCell ref="B38:H38"/>
    <mergeCell ref="B37:H37"/>
    <mergeCell ref="B7:I7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L51"/>
  <sheetViews>
    <sheetView tabSelected="1" zoomScale="90" zoomScaleNormal="90" workbookViewId="0">
      <pane xSplit="1" ySplit="3" topLeftCell="B4" activePane="bottomRight" state="frozen"/>
      <selection pane="topRight"/>
      <selection pane="bottomLeft"/>
      <selection pane="bottomRight" activeCell="B1" sqref="B1:K1"/>
    </sheetView>
  </sheetViews>
  <sheetFormatPr defaultRowHeight="14.5" x14ac:dyDescent="0.35"/>
  <cols>
    <col min="1" max="1" width="3" customWidth="1"/>
    <col min="2" max="2" width="12" customWidth="1"/>
    <col min="3" max="3" width="18" customWidth="1"/>
    <col min="4" max="4" width="28" customWidth="1"/>
    <col min="5" max="5" width="16" customWidth="1"/>
    <col min="6" max="9" width="14" customWidth="1"/>
    <col min="10" max="10" width="16" customWidth="1"/>
    <col min="11" max="11" width="18" customWidth="1"/>
    <col min="12" max="12" width="16.36328125" customWidth="1"/>
  </cols>
  <sheetData>
    <row r="1" spans="2:12" ht="28" customHeight="1" x14ac:dyDescent="0.35">
      <c r="B1" s="56" t="s">
        <v>354</v>
      </c>
      <c r="C1" s="57"/>
      <c r="D1" s="57"/>
      <c r="E1" s="57"/>
      <c r="F1" s="57"/>
      <c r="G1" s="57"/>
      <c r="H1" s="57"/>
      <c r="I1" s="57"/>
      <c r="J1" s="57"/>
      <c r="K1" s="57"/>
    </row>
    <row r="3" spans="2:12" ht="62" x14ac:dyDescent="0.35">
      <c r="B3" s="20" t="s">
        <v>52</v>
      </c>
      <c r="C3" s="20" t="s">
        <v>53</v>
      </c>
      <c r="D3" s="20" t="s">
        <v>54</v>
      </c>
      <c r="E3" s="20" t="s">
        <v>55</v>
      </c>
      <c r="F3" s="20" t="s">
        <v>56</v>
      </c>
      <c r="G3" s="20" t="s">
        <v>57</v>
      </c>
      <c r="H3" s="20" t="s">
        <v>58</v>
      </c>
      <c r="I3" s="20" t="s">
        <v>59</v>
      </c>
      <c r="J3" s="20" t="s">
        <v>60</v>
      </c>
      <c r="K3" s="20" t="s">
        <v>61</v>
      </c>
      <c r="L3" s="20" t="s">
        <v>8</v>
      </c>
    </row>
    <row r="4" spans="2:12" x14ac:dyDescent="0.35">
      <c r="B4" s="21">
        <v>46296</v>
      </c>
      <c r="C4" s="22" t="s">
        <v>62</v>
      </c>
      <c r="D4" s="23" t="s">
        <v>63</v>
      </c>
      <c r="E4" s="23" t="s">
        <v>64</v>
      </c>
      <c r="F4" s="24">
        <v>5000</v>
      </c>
      <c r="G4" s="25">
        <v>0.85</v>
      </c>
      <c r="H4" s="26">
        <f t="shared" ref="H4:H18" si="0">F4*G4</f>
        <v>4250</v>
      </c>
      <c r="I4" s="25">
        <v>0</v>
      </c>
      <c r="J4" s="26">
        <f t="shared" ref="J4:J18" si="1">H4-I4</f>
        <v>4250</v>
      </c>
      <c r="K4" s="22" t="s">
        <v>65</v>
      </c>
      <c r="L4" s="23" t="s">
        <v>66</v>
      </c>
    </row>
    <row r="5" spans="2:12" x14ac:dyDescent="0.35">
      <c r="B5" s="21">
        <v>46297</v>
      </c>
      <c r="C5" s="22" t="s">
        <v>67</v>
      </c>
      <c r="D5" s="23" t="s">
        <v>68</v>
      </c>
      <c r="E5" s="23" t="s">
        <v>69</v>
      </c>
      <c r="F5" s="24">
        <v>10000</v>
      </c>
      <c r="G5" s="25">
        <v>0.12</v>
      </c>
      <c r="H5" s="26">
        <f t="shared" si="0"/>
        <v>1200</v>
      </c>
      <c r="I5" s="25">
        <v>50</v>
      </c>
      <c r="J5" s="26">
        <f t="shared" si="1"/>
        <v>1150</v>
      </c>
      <c r="K5" s="22" t="s">
        <v>65</v>
      </c>
      <c r="L5" s="23" t="s">
        <v>70</v>
      </c>
    </row>
    <row r="6" spans="2:12" x14ac:dyDescent="0.35">
      <c r="B6" s="21">
        <v>46298</v>
      </c>
      <c r="C6" s="22" t="s">
        <v>71</v>
      </c>
      <c r="D6" s="23" t="s">
        <v>72</v>
      </c>
      <c r="E6" s="23" t="s">
        <v>73</v>
      </c>
      <c r="F6" s="24">
        <v>2000</v>
      </c>
      <c r="G6" s="25">
        <v>1.45</v>
      </c>
      <c r="H6" s="26">
        <f t="shared" si="0"/>
        <v>2900</v>
      </c>
      <c r="I6" s="25">
        <v>0</v>
      </c>
      <c r="J6" s="26">
        <f t="shared" si="1"/>
        <v>2900</v>
      </c>
      <c r="K6" s="22" t="s">
        <v>74</v>
      </c>
      <c r="L6" s="23" t="s">
        <v>75</v>
      </c>
    </row>
    <row r="7" spans="2:12" x14ac:dyDescent="0.35">
      <c r="B7" s="21">
        <v>46299</v>
      </c>
      <c r="C7" s="22" t="s">
        <v>76</v>
      </c>
      <c r="D7" s="23" t="s">
        <v>77</v>
      </c>
      <c r="E7" s="23" t="s">
        <v>69</v>
      </c>
      <c r="F7" s="24">
        <v>1000</v>
      </c>
      <c r="G7" s="25">
        <v>0.25</v>
      </c>
      <c r="H7" s="26">
        <f t="shared" si="0"/>
        <v>250</v>
      </c>
      <c r="I7" s="25">
        <v>0</v>
      </c>
      <c r="J7" s="26">
        <f t="shared" si="1"/>
        <v>250</v>
      </c>
      <c r="K7" s="22" t="s">
        <v>65</v>
      </c>
      <c r="L7" s="23" t="s">
        <v>78</v>
      </c>
    </row>
    <row r="8" spans="2:12" x14ac:dyDescent="0.35">
      <c r="B8" s="21">
        <v>46300</v>
      </c>
      <c r="C8" s="22" t="s">
        <v>79</v>
      </c>
      <c r="D8" s="23" t="s">
        <v>80</v>
      </c>
      <c r="E8" s="23" t="s">
        <v>64</v>
      </c>
      <c r="F8" s="24">
        <v>3000</v>
      </c>
      <c r="G8" s="25">
        <v>2.1</v>
      </c>
      <c r="H8" s="26">
        <f t="shared" si="0"/>
        <v>6300</v>
      </c>
      <c r="I8" s="25">
        <v>150</v>
      </c>
      <c r="J8" s="26">
        <f t="shared" si="1"/>
        <v>6150</v>
      </c>
      <c r="K8" s="22" t="s">
        <v>65</v>
      </c>
      <c r="L8" s="23" t="s">
        <v>81</v>
      </c>
    </row>
    <row r="9" spans="2:12" x14ac:dyDescent="0.35">
      <c r="B9" s="21">
        <v>46302</v>
      </c>
      <c r="C9" s="22" t="s">
        <v>82</v>
      </c>
      <c r="D9" s="23" t="s">
        <v>83</v>
      </c>
      <c r="E9" s="23" t="s">
        <v>84</v>
      </c>
      <c r="F9" s="24">
        <v>50</v>
      </c>
      <c r="G9" s="25">
        <v>18</v>
      </c>
      <c r="H9" s="26">
        <f t="shared" si="0"/>
        <v>900</v>
      </c>
      <c r="I9" s="25">
        <v>0</v>
      </c>
      <c r="J9" s="26">
        <f t="shared" si="1"/>
        <v>900</v>
      </c>
      <c r="K9" s="22" t="s">
        <v>74</v>
      </c>
      <c r="L9" s="23" t="s">
        <v>85</v>
      </c>
    </row>
    <row r="10" spans="2:12" x14ac:dyDescent="0.35">
      <c r="B10" s="21">
        <v>46303</v>
      </c>
      <c r="C10" s="22" t="s">
        <v>86</v>
      </c>
      <c r="D10" s="23" t="s">
        <v>87</v>
      </c>
      <c r="E10" s="23" t="s">
        <v>88</v>
      </c>
      <c r="F10" s="24">
        <v>800</v>
      </c>
      <c r="G10" s="25">
        <v>12.5</v>
      </c>
      <c r="H10" s="26">
        <f t="shared" si="0"/>
        <v>10000</v>
      </c>
      <c r="I10" s="25">
        <v>200</v>
      </c>
      <c r="J10" s="26">
        <f t="shared" si="1"/>
        <v>9800</v>
      </c>
      <c r="K10" s="22" t="s">
        <v>65</v>
      </c>
      <c r="L10" s="23" t="s">
        <v>89</v>
      </c>
    </row>
    <row r="11" spans="2:12" x14ac:dyDescent="0.35">
      <c r="B11" s="21">
        <v>46304</v>
      </c>
      <c r="C11" s="22" t="s">
        <v>90</v>
      </c>
      <c r="D11" s="23" t="s">
        <v>91</v>
      </c>
      <c r="E11" s="23" t="s">
        <v>69</v>
      </c>
      <c r="F11" s="24">
        <v>5000</v>
      </c>
      <c r="G11" s="25">
        <v>0.08</v>
      </c>
      <c r="H11" s="26">
        <f t="shared" si="0"/>
        <v>400</v>
      </c>
      <c r="I11" s="25">
        <v>0</v>
      </c>
      <c r="J11" s="26">
        <f t="shared" si="1"/>
        <v>400</v>
      </c>
      <c r="K11" s="22" t="s">
        <v>65</v>
      </c>
      <c r="L11" s="23" t="s">
        <v>92</v>
      </c>
    </row>
    <row r="12" spans="2:12" x14ac:dyDescent="0.35">
      <c r="B12" s="21">
        <v>46305</v>
      </c>
      <c r="C12" s="22" t="s">
        <v>93</v>
      </c>
      <c r="D12" s="23" t="s">
        <v>94</v>
      </c>
      <c r="E12" s="23" t="s">
        <v>64</v>
      </c>
      <c r="F12" s="24">
        <v>2500</v>
      </c>
      <c r="G12" s="25">
        <v>1.2</v>
      </c>
      <c r="H12" s="26">
        <f t="shared" si="0"/>
        <v>3000</v>
      </c>
      <c r="I12" s="25">
        <v>100</v>
      </c>
      <c r="J12" s="26">
        <f t="shared" si="1"/>
        <v>2900</v>
      </c>
      <c r="K12" s="22" t="s">
        <v>74</v>
      </c>
      <c r="L12" s="23" t="s">
        <v>95</v>
      </c>
    </row>
    <row r="13" spans="2:12" x14ac:dyDescent="0.35">
      <c r="B13" s="21">
        <v>46306</v>
      </c>
      <c r="C13" s="22" t="s">
        <v>96</v>
      </c>
      <c r="D13" s="23" t="s">
        <v>97</v>
      </c>
      <c r="E13" s="23" t="s">
        <v>98</v>
      </c>
      <c r="F13" s="24">
        <v>300</v>
      </c>
      <c r="G13" s="25">
        <v>3.5</v>
      </c>
      <c r="H13" s="26">
        <f t="shared" si="0"/>
        <v>1050</v>
      </c>
      <c r="I13" s="25">
        <v>0</v>
      </c>
      <c r="J13" s="26">
        <f t="shared" si="1"/>
        <v>1050</v>
      </c>
      <c r="K13" s="22" t="s">
        <v>65</v>
      </c>
      <c r="L13" s="23" t="s">
        <v>99</v>
      </c>
    </row>
    <row r="14" spans="2:12" x14ac:dyDescent="0.35">
      <c r="B14" s="21">
        <v>46307</v>
      </c>
      <c r="C14" s="22" t="s">
        <v>100</v>
      </c>
      <c r="D14" s="23" t="s">
        <v>101</v>
      </c>
      <c r="E14" s="23" t="s">
        <v>69</v>
      </c>
      <c r="F14" s="24">
        <v>15000</v>
      </c>
      <c r="G14" s="25">
        <v>0.05</v>
      </c>
      <c r="H14" s="26">
        <f t="shared" si="0"/>
        <v>750</v>
      </c>
      <c r="I14" s="25">
        <v>0</v>
      </c>
      <c r="J14" s="26">
        <f t="shared" si="1"/>
        <v>750</v>
      </c>
      <c r="K14" s="22" t="s">
        <v>65</v>
      </c>
      <c r="L14" s="23" t="s">
        <v>102</v>
      </c>
    </row>
    <row r="15" spans="2:12" x14ac:dyDescent="0.35">
      <c r="B15" s="21">
        <v>46309</v>
      </c>
      <c r="C15" s="22" t="s">
        <v>103</v>
      </c>
      <c r="D15" s="23" t="s">
        <v>104</v>
      </c>
      <c r="E15" s="23" t="s">
        <v>88</v>
      </c>
      <c r="F15" s="24">
        <v>1500</v>
      </c>
      <c r="G15" s="25">
        <v>4.75</v>
      </c>
      <c r="H15" s="26">
        <f t="shared" si="0"/>
        <v>7125</v>
      </c>
      <c r="I15" s="25">
        <v>300</v>
      </c>
      <c r="J15" s="26">
        <f t="shared" si="1"/>
        <v>6825</v>
      </c>
      <c r="K15" s="22" t="s">
        <v>74</v>
      </c>
      <c r="L15" s="23" t="s">
        <v>105</v>
      </c>
    </row>
    <row r="16" spans="2:12" x14ac:dyDescent="0.35">
      <c r="B16" s="21">
        <v>46310</v>
      </c>
      <c r="C16" s="22" t="s">
        <v>106</v>
      </c>
      <c r="D16" s="23" t="s">
        <v>107</v>
      </c>
      <c r="E16" s="23" t="s">
        <v>84</v>
      </c>
      <c r="F16" s="24">
        <v>20</v>
      </c>
      <c r="G16" s="25">
        <v>45</v>
      </c>
      <c r="H16" s="26">
        <f t="shared" si="0"/>
        <v>900</v>
      </c>
      <c r="I16" s="25">
        <v>0</v>
      </c>
      <c r="J16" s="26">
        <f t="shared" si="1"/>
        <v>900</v>
      </c>
      <c r="K16" s="22" t="s">
        <v>65</v>
      </c>
      <c r="L16" s="23" t="s">
        <v>108</v>
      </c>
    </row>
    <row r="17" spans="2:12" x14ac:dyDescent="0.35">
      <c r="B17" s="21">
        <v>46311</v>
      </c>
      <c r="C17" s="22" t="s">
        <v>109</v>
      </c>
      <c r="D17" s="23" t="s">
        <v>110</v>
      </c>
      <c r="E17" s="23" t="s">
        <v>64</v>
      </c>
      <c r="F17" s="24">
        <v>10000</v>
      </c>
      <c r="G17" s="25">
        <v>0.09</v>
      </c>
      <c r="H17" s="26">
        <f t="shared" si="0"/>
        <v>900</v>
      </c>
      <c r="I17" s="25">
        <v>0</v>
      </c>
      <c r="J17" s="26">
        <f t="shared" si="1"/>
        <v>900</v>
      </c>
      <c r="K17" s="22" t="s">
        <v>65</v>
      </c>
      <c r="L17" s="23" t="s">
        <v>111</v>
      </c>
    </row>
    <row r="18" spans="2:12" x14ac:dyDescent="0.35">
      <c r="B18" s="21">
        <v>46312</v>
      </c>
      <c r="C18" s="22" t="s">
        <v>112</v>
      </c>
      <c r="D18" s="23" t="s">
        <v>113</v>
      </c>
      <c r="E18" s="23" t="s">
        <v>69</v>
      </c>
      <c r="F18" s="24">
        <v>3000</v>
      </c>
      <c r="G18" s="25">
        <v>0.35</v>
      </c>
      <c r="H18" s="26">
        <f t="shared" si="0"/>
        <v>1050</v>
      </c>
      <c r="I18" s="25">
        <v>50</v>
      </c>
      <c r="J18" s="26">
        <f t="shared" si="1"/>
        <v>1000</v>
      </c>
      <c r="K18" s="22" t="s">
        <v>74</v>
      </c>
      <c r="L18" s="23" t="s">
        <v>114</v>
      </c>
    </row>
    <row r="19" spans="2:12" x14ac:dyDescent="0.35">
      <c r="B19" s="74">
        <v>46313</v>
      </c>
      <c r="C19" s="27"/>
      <c r="D19" s="27"/>
      <c r="E19" s="27"/>
      <c r="F19" s="27"/>
      <c r="G19" s="27"/>
      <c r="H19" s="26" t="str">
        <f t="shared" ref="H19:H43" si="2">IF(F19="","",F19*G19)</f>
        <v/>
      </c>
      <c r="I19" s="27"/>
      <c r="J19" s="26" t="str">
        <f t="shared" ref="J19:J43" si="3">IF(H19="","",H19-I19)</f>
        <v/>
      </c>
      <c r="K19" s="27"/>
      <c r="L19" s="27"/>
    </row>
    <row r="20" spans="2:12" x14ac:dyDescent="0.35">
      <c r="B20" s="27"/>
      <c r="C20" s="27"/>
      <c r="D20" s="27"/>
      <c r="E20" s="27"/>
      <c r="F20" s="27"/>
      <c r="G20" s="27"/>
      <c r="H20" s="26" t="str">
        <f t="shared" si="2"/>
        <v/>
      </c>
      <c r="I20" s="27"/>
      <c r="J20" s="26" t="str">
        <f t="shared" si="3"/>
        <v/>
      </c>
      <c r="K20" s="27"/>
      <c r="L20" s="27"/>
    </row>
    <row r="21" spans="2:12" x14ac:dyDescent="0.35">
      <c r="B21" s="27"/>
      <c r="C21" s="27"/>
      <c r="D21" s="27"/>
      <c r="E21" s="27"/>
      <c r="F21" s="27"/>
      <c r="G21" s="27"/>
      <c r="H21" s="26" t="str">
        <f t="shared" si="2"/>
        <v/>
      </c>
      <c r="I21" s="27"/>
      <c r="J21" s="26" t="str">
        <f t="shared" si="3"/>
        <v/>
      </c>
      <c r="K21" s="27"/>
      <c r="L21" s="27"/>
    </row>
    <row r="22" spans="2:12" x14ac:dyDescent="0.35">
      <c r="B22" s="27"/>
      <c r="C22" s="27"/>
      <c r="D22" s="27"/>
      <c r="E22" s="27"/>
      <c r="F22" s="27"/>
      <c r="G22" s="27"/>
      <c r="H22" s="26" t="str">
        <f t="shared" si="2"/>
        <v/>
      </c>
      <c r="I22" s="27"/>
      <c r="J22" s="26" t="str">
        <f t="shared" si="3"/>
        <v/>
      </c>
      <c r="K22" s="27"/>
      <c r="L22" s="27"/>
    </row>
    <row r="23" spans="2:12" x14ac:dyDescent="0.35">
      <c r="B23" s="27"/>
      <c r="C23" s="27"/>
      <c r="D23" s="27"/>
      <c r="E23" s="27"/>
      <c r="F23" s="27"/>
      <c r="G23" s="27"/>
      <c r="H23" s="26" t="str">
        <f t="shared" si="2"/>
        <v/>
      </c>
      <c r="I23" s="27"/>
      <c r="J23" s="26" t="str">
        <f t="shared" si="3"/>
        <v/>
      </c>
      <c r="K23" s="27"/>
      <c r="L23" s="27"/>
    </row>
    <row r="24" spans="2:12" x14ac:dyDescent="0.35">
      <c r="B24" s="27"/>
      <c r="C24" s="27"/>
      <c r="D24" s="27"/>
      <c r="E24" s="27"/>
      <c r="F24" s="27"/>
      <c r="G24" s="27"/>
      <c r="H24" s="26" t="str">
        <f t="shared" si="2"/>
        <v/>
      </c>
      <c r="I24" s="27"/>
      <c r="J24" s="26" t="str">
        <f t="shared" si="3"/>
        <v/>
      </c>
      <c r="K24" s="27"/>
      <c r="L24" s="27"/>
    </row>
    <row r="25" spans="2:12" x14ac:dyDescent="0.35">
      <c r="B25" s="27"/>
      <c r="C25" s="27"/>
      <c r="D25" s="27"/>
      <c r="E25" s="27"/>
      <c r="F25" s="27"/>
      <c r="G25" s="27"/>
      <c r="H25" s="26" t="str">
        <f t="shared" si="2"/>
        <v/>
      </c>
      <c r="I25" s="27"/>
      <c r="J25" s="26" t="str">
        <f t="shared" si="3"/>
        <v/>
      </c>
      <c r="K25" s="27"/>
      <c r="L25" s="27"/>
    </row>
    <row r="26" spans="2:12" x14ac:dyDescent="0.35">
      <c r="B26" s="27"/>
      <c r="C26" s="27"/>
      <c r="D26" s="27"/>
      <c r="E26" s="27"/>
      <c r="F26" s="27"/>
      <c r="G26" s="27"/>
      <c r="H26" s="26" t="str">
        <f t="shared" si="2"/>
        <v/>
      </c>
      <c r="I26" s="27"/>
      <c r="J26" s="26" t="str">
        <f t="shared" si="3"/>
        <v/>
      </c>
      <c r="K26" s="27"/>
      <c r="L26" s="27"/>
    </row>
    <row r="27" spans="2:12" x14ac:dyDescent="0.35">
      <c r="B27" s="27"/>
      <c r="C27" s="27"/>
      <c r="D27" s="27"/>
      <c r="E27" s="27"/>
      <c r="F27" s="27"/>
      <c r="G27" s="27"/>
      <c r="H27" s="26" t="str">
        <f t="shared" si="2"/>
        <v/>
      </c>
      <c r="I27" s="27"/>
      <c r="J27" s="26" t="str">
        <f t="shared" si="3"/>
        <v/>
      </c>
      <c r="K27" s="27"/>
      <c r="L27" s="27"/>
    </row>
    <row r="28" spans="2:12" x14ac:dyDescent="0.35">
      <c r="B28" s="27"/>
      <c r="C28" s="27"/>
      <c r="D28" s="27"/>
      <c r="E28" s="27"/>
      <c r="F28" s="27"/>
      <c r="G28" s="27"/>
      <c r="H28" s="26" t="str">
        <f t="shared" si="2"/>
        <v/>
      </c>
      <c r="I28" s="27"/>
      <c r="J28" s="26" t="str">
        <f t="shared" si="3"/>
        <v/>
      </c>
      <c r="K28" s="27"/>
      <c r="L28" s="27"/>
    </row>
    <row r="29" spans="2:12" x14ac:dyDescent="0.35">
      <c r="B29" s="27"/>
      <c r="C29" s="27"/>
      <c r="D29" s="27"/>
      <c r="E29" s="27"/>
      <c r="F29" s="27"/>
      <c r="G29" s="27"/>
      <c r="H29" s="26" t="str">
        <f t="shared" si="2"/>
        <v/>
      </c>
      <c r="I29" s="27"/>
      <c r="J29" s="26" t="str">
        <f t="shared" si="3"/>
        <v/>
      </c>
      <c r="K29" s="27"/>
      <c r="L29" s="27"/>
    </row>
    <row r="30" spans="2:12" x14ac:dyDescent="0.35">
      <c r="B30" s="27"/>
      <c r="C30" s="27"/>
      <c r="D30" s="27"/>
      <c r="E30" s="27"/>
      <c r="F30" s="27"/>
      <c r="G30" s="27"/>
      <c r="H30" s="26" t="str">
        <f t="shared" si="2"/>
        <v/>
      </c>
      <c r="I30" s="27"/>
      <c r="J30" s="26" t="str">
        <f t="shared" si="3"/>
        <v/>
      </c>
      <c r="K30" s="27"/>
      <c r="L30" s="27"/>
    </row>
    <row r="31" spans="2:12" x14ac:dyDescent="0.35">
      <c r="B31" s="27"/>
      <c r="C31" s="27"/>
      <c r="D31" s="27"/>
      <c r="E31" s="27"/>
      <c r="F31" s="27"/>
      <c r="G31" s="27"/>
      <c r="H31" s="26" t="str">
        <f t="shared" si="2"/>
        <v/>
      </c>
      <c r="I31" s="27"/>
      <c r="J31" s="26" t="str">
        <f t="shared" si="3"/>
        <v/>
      </c>
      <c r="K31" s="27"/>
      <c r="L31" s="27"/>
    </row>
    <row r="32" spans="2:12" x14ac:dyDescent="0.35">
      <c r="B32" s="27"/>
      <c r="C32" s="27"/>
      <c r="D32" s="27"/>
      <c r="E32" s="27"/>
      <c r="F32" s="27"/>
      <c r="G32" s="27"/>
      <c r="H32" s="26" t="str">
        <f t="shared" si="2"/>
        <v/>
      </c>
      <c r="I32" s="27"/>
      <c r="J32" s="26" t="str">
        <f t="shared" si="3"/>
        <v/>
      </c>
      <c r="K32" s="27"/>
      <c r="L32" s="27"/>
    </row>
    <row r="33" spans="2:12" x14ac:dyDescent="0.35">
      <c r="B33" s="27"/>
      <c r="C33" s="27"/>
      <c r="D33" s="27"/>
      <c r="E33" s="27"/>
      <c r="F33" s="27"/>
      <c r="G33" s="27"/>
      <c r="H33" s="26" t="str">
        <f t="shared" si="2"/>
        <v/>
      </c>
      <c r="I33" s="27"/>
      <c r="J33" s="26" t="str">
        <f t="shared" si="3"/>
        <v/>
      </c>
      <c r="K33" s="27"/>
      <c r="L33" s="27"/>
    </row>
    <row r="34" spans="2:12" x14ac:dyDescent="0.35">
      <c r="B34" s="27"/>
      <c r="C34" s="27"/>
      <c r="D34" s="27"/>
      <c r="E34" s="27"/>
      <c r="F34" s="27"/>
      <c r="G34" s="27"/>
      <c r="H34" s="26" t="str">
        <f t="shared" si="2"/>
        <v/>
      </c>
      <c r="I34" s="27"/>
      <c r="J34" s="26" t="str">
        <f t="shared" si="3"/>
        <v/>
      </c>
      <c r="K34" s="27"/>
      <c r="L34" s="27"/>
    </row>
    <row r="35" spans="2:12" x14ac:dyDescent="0.35">
      <c r="B35" s="27"/>
      <c r="C35" s="27"/>
      <c r="D35" s="27"/>
      <c r="E35" s="27"/>
      <c r="F35" s="27"/>
      <c r="G35" s="27"/>
      <c r="H35" s="26" t="str">
        <f t="shared" si="2"/>
        <v/>
      </c>
      <c r="I35" s="27"/>
      <c r="J35" s="26" t="str">
        <f t="shared" si="3"/>
        <v/>
      </c>
      <c r="K35" s="27"/>
      <c r="L35" s="27"/>
    </row>
    <row r="36" spans="2:12" x14ac:dyDescent="0.35">
      <c r="B36" s="27"/>
      <c r="C36" s="27"/>
      <c r="D36" s="27"/>
      <c r="E36" s="27"/>
      <c r="F36" s="27"/>
      <c r="G36" s="27"/>
      <c r="H36" s="26" t="str">
        <f t="shared" si="2"/>
        <v/>
      </c>
      <c r="I36" s="27"/>
      <c r="J36" s="26" t="str">
        <f t="shared" si="3"/>
        <v/>
      </c>
      <c r="K36" s="27"/>
      <c r="L36" s="27"/>
    </row>
    <row r="37" spans="2:12" x14ac:dyDescent="0.35">
      <c r="B37" s="27"/>
      <c r="C37" s="27"/>
      <c r="D37" s="27"/>
      <c r="E37" s="27"/>
      <c r="F37" s="27"/>
      <c r="G37" s="27"/>
      <c r="H37" s="26" t="str">
        <f t="shared" si="2"/>
        <v/>
      </c>
      <c r="I37" s="27"/>
      <c r="J37" s="26" t="str">
        <f t="shared" si="3"/>
        <v/>
      </c>
      <c r="K37" s="27"/>
      <c r="L37" s="27"/>
    </row>
    <row r="38" spans="2:12" x14ac:dyDescent="0.35">
      <c r="B38" s="27"/>
      <c r="C38" s="27"/>
      <c r="D38" s="27"/>
      <c r="E38" s="27"/>
      <c r="F38" s="27"/>
      <c r="G38" s="27"/>
      <c r="H38" s="26" t="str">
        <f t="shared" si="2"/>
        <v/>
      </c>
      <c r="I38" s="27"/>
      <c r="J38" s="26" t="str">
        <f t="shared" si="3"/>
        <v/>
      </c>
      <c r="K38" s="27"/>
      <c r="L38" s="27"/>
    </row>
    <row r="39" spans="2:12" x14ac:dyDescent="0.35">
      <c r="B39" s="27"/>
      <c r="C39" s="27"/>
      <c r="D39" s="27"/>
      <c r="E39" s="27"/>
      <c r="F39" s="27"/>
      <c r="G39" s="27"/>
      <c r="H39" s="26" t="str">
        <f t="shared" si="2"/>
        <v/>
      </c>
      <c r="I39" s="27"/>
      <c r="J39" s="26" t="str">
        <f t="shared" si="3"/>
        <v/>
      </c>
      <c r="K39" s="27"/>
      <c r="L39" s="27"/>
    </row>
    <row r="40" spans="2:12" x14ac:dyDescent="0.35">
      <c r="B40" s="27"/>
      <c r="C40" s="27"/>
      <c r="D40" s="27"/>
      <c r="E40" s="27"/>
      <c r="F40" s="27"/>
      <c r="G40" s="27"/>
      <c r="H40" s="26" t="str">
        <f t="shared" si="2"/>
        <v/>
      </c>
      <c r="I40" s="27"/>
      <c r="J40" s="26" t="str">
        <f t="shared" si="3"/>
        <v/>
      </c>
      <c r="K40" s="27"/>
      <c r="L40" s="27"/>
    </row>
    <row r="41" spans="2:12" x14ac:dyDescent="0.35">
      <c r="B41" s="27"/>
      <c r="C41" s="27"/>
      <c r="D41" s="27"/>
      <c r="E41" s="27"/>
      <c r="F41" s="27"/>
      <c r="G41" s="27"/>
      <c r="H41" s="26" t="str">
        <f t="shared" si="2"/>
        <v/>
      </c>
      <c r="I41" s="27"/>
      <c r="J41" s="26" t="str">
        <f t="shared" si="3"/>
        <v/>
      </c>
      <c r="K41" s="27"/>
      <c r="L41" s="27"/>
    </row>
    <row r="42" spans="2:12" x14ac:dyDescent="0.35">
      <c r="B42" s="27"/>
      <c r="C42" s="27"/>
      <c r="D42" s="27"/>
      <c r="E42" s="27"/>
      <c r="F42" s="27"/>
      <c r="G42" s="27"/>
      <c r="H42" s="26" t="str">
        <f t="shared" si="2"/>
        <v/>
      </c>
      <c r="I42" s="27"/>
      <c r="J42" s="26" t="str">
        <f t="shared" si="3"/>
        <v/>
      </c>
      <c r="K42" s="27"/>
      <c r="L42" s="27"/>
    </row>
    <row r="43" spans="2:12" x14ac:dyDescent="0.35">
      <c r="B43" s="27"/>
      <c r="C43" s="27"/>
      <c r="D43" s="27"/>
      <c r="E43" s="27"/>
      <c r="F43" s="27"/>
      <c r="G43" s="27"/>
      <c r="H43" s="26" t="str">
        <f t="shared" si="2"/>
        <v/>
      </c>
      <c r="I43" s="27"/>
      <c r="J43" s="26" t="str">
        <f t="shared" si="3"/>
        <v/>
      </c>
      <c r="K43" s="27"/>
      <c r="L43" s="27"/>
    </row>
    <row r="45" spans="2:12" x14ac:dyDescent="0.35">
      <c r="B45" s="16" t="s">
        <v>115</v>
      </c>
      <c r="C45" s="28"/>
      <c r="D45" s="28"/>
      <c r="E45" s="28"/>
      <c r="F45" s="29">
        <f>SUM(F4:F43)</f>
        <v>59170</v>
      </c>
      <c r="G45" s="28"/>
      <c r="H45" s="17">
        <f>SUM(H4:H43)</f>
        <v>40975</v>
      </c>
      <c r="I45" s="17">
        <f>SUM(I4:I43)</f>
        <v>850</v>
      </c>
      <c r="J45" s="17">
        <f>SUM(J4:J43)</f>
        <v>40125</v>
      </c>
      <c r="K45" s="28"/>
      <c r="L45" s="28"/>
    </row>
    <row r="47" spans="2:12" ht="15.5" x14ac:dyDescent="0.35">
      <c r="B47" s="68" t="s">
        <v>116</v>
      </c>
      <c r="C47" s="69"/>
      <c r="D47" s="69"/>
      <c r="E47" s="69"/>
    </row>
    <row r="48" spans="2:12" x14ac:dyDescent="0.35">
      <c r="B48" s="6" t="s">
        <v>117</v>
      </c>
      <c r="C48" s="6" t="s">
        <v>118</v>
      </c>
      <c r="D48" s="6" t="s">
        <v>119</v>
      </c>
    </row>
    <row r="49" spans="2:4" x14ac:dyDescent="0.35">
      <c r="B49" s="27" t="s">
        <v>65</v>
      </c>
      <c r="C49" s="27">
        <f>COUNTIF(K4:K43,"Paid")</f>
        <v>10</v>
      </c>
      <c r="D49" s="30">
        <f>SUMIF(K4:K43,"Paid",J4:J43)</f>
        <v>25600</v>
      </c>
    </row>
    <row r="50" spans="2:4" x14ac:dyDescent="0.35">
      <c r="B50" s="27" t="s">
        <v>74</v>
      </c>
      <c r="C50" s="27">
        <f>COUNTIF(K4:K43,"Pending")</f>
        <v>5</v>
      </c>
      <c r="D50" s="30">
        <f>SUMIF(K4:K43,"Pending",J4:J43)</f>
        <v>14525</v>
      </c>
    </row>
    <row r="51" spans="2:4" x14ac:dyDescent="0.35">
      <c r="B51" s="27" t="s">
        <v>120</v>
      </c>
      <c r="C51" s="27">
        <f>COUNTIF(K4:K43,"Overdue")</f>
        <v>0</v>
      </c>
      <c r="D51" s="30">
        <f>SUMIF(K4:K43,"Overdue",J4:J43)</f>
        <v>0</v>
      </c>
    </row>
  </sheetData>
  <mergeCells count="2">
    <mergeCell ref="B47:E47"/>
    <mergeCell ref="B1:K1"/>
  </mergeCells>
  <dataValidations count="2">
    <dataValidation type="list" allowBlank="1" sqref="E4:E43" xr:uid="{00000000-0002-0000-0100-000000000000}">
      <formula1>"Offset Printing,Digital Print,Large Format,Offset + Lamination,Offset + Binding,Digital + Foil,Design Services,Finishing Only"</formula1>
    </dataValidation>
    <dataValidation type="list" allowBlank="1" sqref="K4:K43" xr:uid="{00000000-0002-0000-0100-000001000000}">
      <formula1>"Paid,Pending,Overdue,Cancelled"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K71"/>
  <sheetViews>
    <sheetView zoomScale="90" zoomScaleNormal="9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4.5" x14ac:dyDescent="0.35"/>
  <cols>
    <col min="1" max="1" width="3" customWidth="1"/>
    <col min="2" max="2" width="12" customWidth="1"/>
    <col min="3" max="3" width="18" customWidth="1"/>
    <col min="4" max="4" width="26" customWidth="1"/>
    <col min="5" max="5" width="18" customWidth="1"/>
    <col min="6" max="8" width="14" customWidth="1"/>
    <col min="9" max="9" width="16" customWidth="1"/>
    <col min="10" max="10" width="18" customWidth="1"/>
    <col min="11" max="11" width="16.90625" customWidth="1"/>
  </cols>
  <sheetData>
    <row r="1" spans="2:11" ht="28" customHeight="1" x14ac:dyDescent="0.35">
      <c r="B1" s="56" t="s">
        <v>320</v>
      </c>
      <c r="C1" s="57"/>
      <c r="D1" s="57"/>
      <c r="E1" s="57"/>
      <c r="F1" s="57"/>
      <c r="G1" s="57"/>
      <c r="H1" s="57"/>
      <c r="I1" s="57"/>
      <c r="J1" s="57"/>
    </row>
    <row r="3" spans="2:11" ht="62" x14ac:dyDescent="0.35">
      <c r="B3" s="20" t="s">
        <v>52</v>
      </c>
      <c r="C3" s="20" t="s">
        <v>121</v>
      </c>
      <c r="D3" s="20" t="s">
        <v>122</v>
      </c>
      <c r="E3" s="20" t="s">
        <v>123</v>
      </c>
      <c r="F3" s="20" t="s">
        <v>124</v>
      </c>
      <c r="G3" s="20" t="s">
        <v>125</v>
      </c>
      <c r="H3" s="20" t="s">
        <v>126</v>
      </c>
      <c r="I3" s="20" t="s">
        <v>127</v>
      </c>
      <c r="J3" s="20" t="s">
        <v>61</v>
      </c>
      <c r="K3" s="20" t="s">
        <v>8</v>
      </c>
    </row>
    <row r="4" spans="2:11" x14ac:dyDescent="0.35">
      <c r="B4" s="21">
        <v>46296</v>
      </c>
      <c r="C4" s="22" t="s">
        <v>128</v>
      </c>
      <c r="D4" s="23" t="s">
        <v>129</v>
      </c>
      <c r="E4" s="23" t="s">
        <v>130</v>
      </c>
      <c r="F4" s="23" t="s">
        <v>131</v>
      </c>
      <c r="G4" s="25">
        <v>1850</v>
      </c>
      <c r="H4" s="25">
        <v>185</v>
      </c>
      <c r="I4" s="26">
        <f t="shared" ref="I4:I20" si="0">G4+H4</f>
        <v>2035</v>
      </c>
      <c r="J4" s="22" t="s">
        <v>65</v>
      </c>
      <c r="K4" s="23" t="s">
        <v>132</v>
      </c>
    </row>
    <row r="5" spans="2:11" x14ac:dyDescent="0.35">
      <c r="B5" s="21">
        <v>46296</v>
      </c>
      <c r="C5" s="22" t="s">
        <v>133</v>
      </c>
      <c r="D5" s="23" t="s">
        <v>134</v>
      </c>
      <c r="E5" s="23" t="s">
        <v>135</v>
      </c>
      <c r="F5" s="23" t="s">
        <v>136</v>
      </c>
      <c r="G5" s="25">
        <v>920</v>
      </c>
      <c r="H5" s="25">
        <v>92</v>
      </c>
      <c r="I5" s="26">
        <f t="shared" si="0"/>
        <v>1012</v>
      </c>
      <c r="J5" s="22" t="s">
        <v>65</v>
      </c>
      <c r="K5" s="23" t="s">
        <v>137</v>
      </c>
    </row>
    <row r="6" spans="2:11" x14ac:dyDescent="0.35">
      <c r="B6" s="21">
        <v>46297</v>
      </c>
      <c r="C6" s="22" t="s">
        <v>138</v>
      </c>
      <c r="D6" s="23" t="s">
        <v>139</v>
      </c>
      <c r="E6" s="23" t="s">
        <v>140</v>
      </c>
      <c r="F6" s="23" t="s">
        <v>141</v>
      </c>
      <c r="G6" s="25">
        <v>2450</v>
      </c>
      <c r="H6" s="25">
        <v>0</v>
      </c>
      <c r="I6" s="26">
        <f t="shared" si="0"/>
        <v>2450</v>
      </c>
      <c r="J6" s="22" t="s">
        <v>65</v>
      </c>
      <c r="K6" s="23" t="s">
        <v>142</v>
      </c>
    </row>
    <row r="7" spans="2:11" x14ac:dyDescent="0.35">
      <c r="B7" s="21">
        <v>46298</v>
      </c>
      <c r="C7" s="22" t="s">
        <v>143</v>
      </c>
      <c r="D7" s="23" t="s">
        <v>144</v>
      </c>
      <c r="E7" s="23" t="s">
        <v>145</v>
      </c>
      <c r="F7" s="23" t="s">
        <v>146</v>
      </c>
      <c r="G7" s="25">
        <v>4500</v>
      </c>
      <c r="H7" s="25">
        <v>0</v>
      </c>
      <c r="I7" s="26">
        <f t="shared" si="0"/>
        <v>4500</v>
      </c>
      <c r="J7" s="22" t="s">
        <v>65</v>
      </c>
      <c r="K7" s="23" t="s">
        <v>147</v>
      </c>
    </row>
    <row r="8" spans="2:11" x14ac:dyDescent="0.35">
      <c r="B8" s="21">
        <v>46299</v>
      </c>
      <c r="C8" s="22" t="s">
        <v>148</v>
      </c>
      <c r="D8" s="23" t="s">
        <v>149</v>
      </c>
      <c r="E8" s="23" t="s">
        <v>150</v>
      </c>
      <c r="F8" s="23" t="s">
        <v>151</v>
      </c>
      <c r="G8" s="25">
        <v>680</v>
      </c>
      <c r="H8" s="25">
        <v>68</v>
      </c>
      <c r="I8" s="26">
        <f t="shared" si="0"/>
        <v>748</v>
      </c>
      <c r="J8" s="22" t="s">
        <v>74</v>
      </c>
      <c r="K8" s="23" t="s">
        <v>152</v>
      </c>
    </row>
    <row r="9" spans="2:11" x14ac:dyDescent="0.35">
      <c r="B9" s="21">
        <v>46300</v>
      </c>
      <c r="C9" s="22" t="s">
        <v>153</v>
      </c>
      <c r="D9" s="23" t="s">
        <v>154</v>
      </c>
      <c r="E9" s="23" t="s">
        <v>155</v>
      </c>
      <c r="F9" s="23" t="s">
        <v>156</v>
      </c>
      <c r="G9" s="25">
        <v>1200</v>
      </c>
      <c r="H9" s="25">
        <v>120</v>
      </c>
      <c r="I9" s="26">
        <f t="shared" si="0"/>
        <v>1320</v>
      </c>
      <c r="J9" s="22" t="s">
        <v>65</v>
      </c>
      <c r="K9" s="23" t="s">
        <v>157</v>
      </c>
    </row>
    <row r="10" spans="2:11" x14ac:dyDescent="0.35">
      <c r="B10" s="21">
        <v>46301</v>
      </c>
      <c r="C10" s="22" t="s">
        <v>158</v>
      </c>
      <c r="D10" s="23" t="s">
        <v>159</v>
      </c>
      <c r="E10" s="23" t="s">
        <v>160</v>
      </c>
      <c r="F10" s="23" t="s">
        <v>161</v>
      </c>
      <c r="G10" s="25">
        <v>450</v>
      </c>
      <c r="H10" s="25">
        <v>0</v>
      </c>
      <c r="I10" s="26">
        <f t="shared" si="0"/>
        <v>450</v>
      </c>
      <c r="J10" s="22" t="s">
        <v>65</v>
      </c>
      <c r="K10" s="23" t="s">
        <v>162</v>
      </c>
    </row>
    <row r="11" spans="2:11" x14ac:dyDescent="0.35">
      <c r="B11" s="21">
        <v>46302</v>
      </c>
      <c r="C11" s="22" t="s">
        <v>163</v>
      </c>
      <c r="D11" s="23" t="s">
        <v>164</v>
      </c>
      <c r="E11" s="23" t="s">
        <v>165</v>
      </c>
      <c r="F11" s="23" t="s">
        <v>166</v>
      </c>
      <c r="G11" s="25">
        <v>380</v>
      </c>
      <c r="H11" s="25">
        <v>38</v>
      </c>
      <c r="I11" s="26">
        <f t="shared" si="0"/>
        <v>418</v>
      </c>
      <c r="J11" s="22" t="s">
        <v>65</v>
      </c>
      <c r="K11" s="23" t="s">
        <v>167</v>
      </c>
    </row>
    <row r="12" spans="2:11" x14ac:dyDescent="0.35">
      <c r="B12" s="21">
        <v>46303</v>
      </c>
      <c r="C12" s="22" t="s">
        <v>168</v>
      </c>
      <c r="D12" s="23" t="s">
        <v>169</v>
      </c>
      <c r="E12" s="23" t="s">
        <v>170</v>
      </c>
      <c r="F12" s="23" t="s">
        <v>171</v>
      </c>
      <c r="G12" s="25">
        <v>550</v>
      </c>
      <c r="H12" s="25">
        <v>55</v>
      </c>
      <c r="I12" s="26">
        <f t="shared" si="0"/>
        <v>605</v>
      </c>
      <c r="J12" s="22" t="s">
        <v>74</v>
      </c>
      <c r="K12" s="23" t="s">
        <v>172</v>
      </c>
    </row>
    <row r="13" spans="2:11" x14ac:dyDescent="0.35">
      <c r="B13" s="21">
        <v>46304</v>
      </c>
      <c r="C13" s="22" t="s">
        <v>173</v>
      </c>
      <c r="D13" s="23" t="s">
        <v>129</v>
      </c>
      <c r="E13" s="23" t="s">
        <v>130</v>
      </c>
      <c r="F13" s="23" t="s">
        <v>174</v>
      </c>
      <c r="G13" s="25">
        <v>720</v>
      </c>
      <c r="H13" s="25">
        <v>72</v>
      </c>
      <c r="I13" s="26">
        <f t="shared" si="0"/>
        <v>792</v>
      </c>
      <c r="J13" s="22" t="s">
        <v>65</v>
      </c>
      <c r="K13" s="23" t="s">
        <v>175</v>
      </c>
    </row>
    <row r="14" spans="2:11" x14ac:dyDescent="0.35">
      <c r="B14" s="21">
        <v>46305</v>
      </c>
      <c r="C14" s="22" t="s">
        <v>176</v>
      </c>
      <c r="D14" s="23" t="s">
        <v>177</v>
      </c>
      <c r="E14" s="23" t="s">
        <v>178</v>
      </c>
      <c r="F14" s="23" t="s">
        <v>179</v>
      </c>
      <c r="G14" s="25">
        <v>89</v>
      </c>
      <c r="H14" s="25">
        <v>0</v>
      </c>
      <c r="I14" s="26">
        <f t="shared" si="0"/>
        <v>89</v>
      </c>
      <c r="J14" s="22" t="s">
        <v>65</v>
      </c>
      <c r="K14" s="23" t="s">
        <v>180</v>
      </c>
    </row>
    <row r="15" spans="2:11" x14ac:dyDescent="0.35">
      <c r="B15" s="21">
        <v>46306</v>
      </c>
      <c r="C15" s="22" t="s">
        <v>181</v>
      </c>
      <c r="D15" s="23" t="s">
        <v>182</v>
      </c>
      <c r="E15" s="23" t="s">
        <v>183</v>
      </c>
      <c r="F15" s="23" t="s">
        <v>184</v>
      </c>
      <c r="G15" s="25">
        <v>210</v>
      </c>
      <c r="H15" s="25">
        <v>0</v>
      </c>
      <c r="I15" s="26">
        <f t="shared" si="0"/>
        <v>210</v>
      </c>
      <c r="J15" s="22" t="s">
        <v>65</v>
      </c>
      <c r="K15" s="23"/>
    </row>
    <row r="16" spans="2:11" x14ac:dyDescent="0.35">
      <c r="B16" s="21">
        <v>46307</v>
      </c>
      <c r="C16" s="22" t="s">
        <v>185</v>
      </c>
      <c r="D16" s="23" t="s">
        <v>134</v>
      </c>
      <c r="E16" s="23" t="s">
        <v>135</v>
      </c>
      <c r="F16" s="23" t="s">
        <v>186</v>
      </c>
      <c r="G16" s="25">
        <v>640</v>
      </c>
      <c r="H16" s="25">
        <v>64</v>
      </c>
      <c r="I16" s="26">
        <f t="shared" si="0"/>
        <v>704</v>
      </c>
      <c r="J16" s="22" t="s">
        <v>74</v>
      </c>
      <c r="K16" s="23" t="s">
        <v>187</v>
      </c>
    </row>
    <row r="17" spans="2:11" x14ac:dyDescent="0.35">
      <c r="B17" s="21">
        <v>46309</v>
      </c>
      <c r="C17" s="22" t="s">
        <v>188</v>
      </c>
      <c r="D17" s="23" t="s">
        <v>189</v>
      </c>
      <c r="E17" s="23" t="s">
        <v>190</v>
      </c>
      <c r="F17" s="23" t="s">
        <v>191</v>
      </c>
      <c r="G17" s="25">
        <v>175</v>
      </c>
      <c r="H17" s="25">
        <v>17.5</v>
      </c>
      <c r="I17" s="26">
        <f t="shared" si="0"/>
        <v>192.5</v>
      </c>
      <c r="J17" s="22" t="s">
        <v>65</v>
      </c>
      <c r="K17" s="23"/>
    </row>
    <row r="18" spans="2:11" x14ac:dyDescent="0.35">
      <c r="B18" s="21">
        <v>46310</v>
      </c>
      <c r="C18" s="22" t="s">
        <v>192</v>
      </c>
      <c r="D18" s="23" t="s">
        <v>193</v>
      </c>
      <c r="E18" s="23" t="s">
        <v>194</v>
      </c>
      <c r="F18" s="23" t="s">
        <v>195</v>
      </c>
      <c r="G18" s="25">
        <v>350</v>
      </c>
      <c r="H18" s="25">
        <v>0</v>
      </c>
      <c r="I18" s="26">
        <f t="shared" si="0"/>
        <v>350</v>
      </c>
      <c r="J18" s="22" t="s">
        <v>74</v>
      </c>
      <c r="K18" s="23" t="s">
        <v>196</v>
      </c>
    </row>
    <row r="19" spans="2:11" x14ac:dyDescent="0.35">
      <c r="B19" s="21">
        <v>46311</v>
      </c>
      <c r="C19" s="22" t="s">
        <v>197</v>
      </c>
      <c r="D19" s="23" t="s">
        <v>164</v>
      </c>
      <c r="E19" s="23" t="s">
        <v>165</v>
      </c>
      <c r="F19" s="23" t="s">
        <v>198</v>
      </c>
      <c r="G19" s="25">
        <v>420</v>
      </c>
      <c r="H19" s="25">
        <v>42</v>
      </c>
      <c r="I19" s="26">
        <f t="shared" si="0"/>
        <v>462</v>
      </c>
      <c r="J19" s="22" t="s">
        <v>65</v>
      </c>
      <c r="K19" s="23"/>
    </row>
    <row r="20" spans="2:11" x14ac:dyDescent="0.35">
      <c r="B20" s="21">
        <v>46312</v>
      </c>
      <c r="C20" s="22" t="s">
        <v>199</v>
      </c>
      <c r="D20" s="23" t="s">
        <v>129</v>
      </c>
      <c r="E20" s="23" t="s">
        <v>130</v>
      </c>
      <c r="F20" s="23" t="s">
        <v>200</v>
      </c>
      <c r="G20" s="25">
        <v>390</v>
      </c>
      <c r="H20" s="25">
        <v>39</v>
      </c>
      <c r="I20" s="26">
        <f t="shared" si="0"/>
        <v>429</v>
      </c>
      <c r="J20" s="22" t="s">
        <v>65</v>
      </c>
      <c r="K20" s="23" t="s">
        <v>201</v>
      </c>
    </row>
    <row r="21" spans="2:11" x14ac:dyDescent="0.35">
      <c r="B21" s="27"/>
      <c r="C21" s="27"/>
      <c r="D21" s="27"/>
      <c r="E21" s="27"/>
      <c r="F21" s="27"/>
      <c r="G21" s="27"/>
      <c r="H21" s="27"/>
      <c r="I21" s="26" t="str">
        <f t="shared" ref="I21:I48" si="1">IF(G21="","",G21+H21)</f>
        <v/>
      </c>
      <c r="J21" s="27"/>
      <c r="K21" s="27"/>
    </row>
    <row r="22" spans="2:11" x14ac:dyDescent="0.35">
      <c r="B22" s="27"/>
      <c r="C22" s="27"/>
      <c r="D22" s="27"/>
      <c r="E22" s="27"/>
      <c r="F22" s="27"/>
      <c r="G22" s="27"/>
      <c r="H22" s="27"/>
      <c r="I22" s="26" t="str">
        <f t="shared" si="1"/>
        <v/>
      </c>
      <c r="J22" s="27"/>
      <c r="K22" s="27"/>
    </row>
    <row r="23" spans="2:11" x14ac:dyDescent="0.35">
      <c r="B23" s="27"/>
      <c r="C23" s="27"/>
      <c r="D23" s="27"/>
      <c r="E23" s="27"/>
      <c r="F23" s="27"/>
      <c r="G23" s="27"/>
      <c r="H23" s="27"/>
      <c r="I23" s="26" t="str">
        <f t="shared" si="1"/>
        <v/>
      </c>
      <c r="J23" s="27"/>
      <c r="K23" s="27"/>
    </row>
    <row r="24" spans="2:11" x14ac:dyDescent="0.35">
      <c r="B24" s="27"/>
      <c r="C24" s="27"/>
      <c r="D24" s="27"/>
      <c r="E24" s="27"/>
      <c r="F24" s="27"/>
      <c r="G24" s="27"/>
      <c r="H24" s="27"/>
      <c r="I24" s="26" t="str">
        <f t="shared" si="1"/>
        <v/>
      </c>
      <c r="J24" s="27"/>
      <c r="K24" s="27"/>
    </row>
    <row r="25" spans="2:11" x14ac:dyDescent="0.35">
      <c r="B25" s="27"/>
      <c r="C25" s="27"/>
      <c r="D25" s="27"/>
      <c r="E25" s="27"/>
      <c r="F25" s="27"/>
      <c r="G25" s="27"/>
      <c r="H25" s="27"/>
      <c r="I25" s="26" t="str">
        <f t="shared" si="1"/>
        <v/>
      </c>
      <c r="J25" s="27"/>
      <c r="K25" s="27"/>
    </row>
    <row r="26" spans="2:11" x14ac:dyDescent="0.35">
      <c r="B26" s="27"/>
      <c r="C26" s="27"/>
      <c r="D26" s="27"/>
      <c r="E26" s="27"/>
      <c r="F26" s="27"/>
      <c r="G26" s="27"/>
      <c r="H26" s="27"/>
      <c r="I26" s="26" t="str">
        <f t="shared" si="1"/>
        <v/>
      </c>
      <c r="J26" s="27"/>
      <c r="K26" s="27"/>
    </row>
    <row r="27" spans="2:11" x14ac:dyDescent="0.35">
      <c r="B27" s="27"/>
      <c r="C27" s="27"/>
      <c r="D27" s="27"/>
      <c r="E27" s="27"/>
      <c r="F27" s="27"/>
      <c r="G27" s="27"/>
      <c r="H27" s="27"/>
      <c r="I27" s="26" t="str">
        <f t="shared" si="1"/>
        <v/>
      </c>
      <c r="J27" s="27"/>
      <c r="K27" s="27"/>
    </row>
    <row r="28" spans="2:11" x14ac:dyDescent="0.35">
      <c r="B28" s="27"/>
      <c r="C28" s="27"/>
      <c r="D28" s="27"/>
      <c r="E28" s="27"/>
      <c r="F28" s="27"/>
      <c r="G28" s="27"/>
      <c r="H28" s="27"/>
      <c r="I28" s="26" t="str">
        <f t="shared" si="1"/>
        <v/>
      </c>
      <c r="J28" s="27"/>
      <c r="K28" s="27"/>
    </row>
    <row r="29" spans="2:11" x14ac:dyDescent="0.35">
      <c r="B29" s="27"/>
      <c r="C29" s="27"/>
      <c r="D29" s="27"/>
      <c r="E29" s="27"/>
      <c r="F29" s="27"/>
      <c r="G29" s="27"/>
      <c r="H29" s="27"/>
      <c r="I29" s="26" t="str">
        <f t="shared" si="1"/>
        <v/>
      </c>
      <c r="J29" s="27"/>
      <c r="K29" s="27"/>
    </row>
    <row r="30" spans="2:11" x14ac:dyDescent="0.35">
      <c r="B30" s="27"/>
      <c r="C30" s="27"/>
      <c r="D30" s="27"/>
      <c r="E30" s="27"/>
      <c r="F30" s="27"/>
      <c r="G30" s="27"/>
      <c r="H30" s="27"/>
      <c r="I30" s="26" t="str">
        <f t="shared" si="1"/>
        <v/>
      </c>
      <c r="J30" s="27"/>
      <c r="K30" s="27"/>
    </row>
    <row r="31" spans="2:11" x14ac:dyDescent="0.35">
      <c r="B31" s="27"/>
      <c r="C31" s="27"/>
      <c r="D31" s="27"/>
      <c r="E31" s="27"/>
      <c r="F31" s="27"/>
      <c r="G31" s="27"/>
      <c r="H31" s="27"/>
      <c r="I31" s="26" t="str">
        <f t="shared" si="1"/>
        <v/>
      </c>
      <c r="J31" s="27"/>
      <c r="K31" s="27"/>
    </row>
    <row r="32" spans="2:11" x14ac:dyDescent="0.35">
      <c r="B32" s="27"/>
      <c r="C32" s="27"/>
      <c r="D32" s="27"/>
      <c r="E32" s="27"/>
      <c r="F32" s="27"/>
      <c r="G32" s="27"/>
      <c r="H32" s="27"/>
      <c r="I32" s="26" t="str">
        <f t="shared" si="1"/>
        <v/>
      </c>
      <c r="J32" s="27"/>
      <c r="K32" s="27"/>
    </row>
    <row r="33" spans="2:11" x14ac:dyDescent="0.35">
      <c r="B33" s="27"/>
      <c r="C33" s="27"/>
      <c r="D33" s="27"/>
      <c r="E33" s="27"/>
      <c r="F33" s="27"/>
      <c r="G33" s="27"/>
      <c r="H33" s="27"/>
      <c r="I33" s="26" t="str">
        <f t="shared" si="1"/>
        <v/>
      </c>
      <c r="J33" s="27"/>
      <c r="K33" s="27"/>
    </row>
    <row r="34" spans="2:11" x14ac:dyDescent="0.35">
      <c r="B34" s="27"/>
      <c r="C34" s="27"/>
      <c r="D34" s="27"/>
      <c r="E34" s="27"/>
      <c r="F34" s="27"/>
      <c r="G34" s="27"/>
      <c r="H34" s="27"/>
      <c r="I34" s="26" t="str">
        <f t="shared" si="1"/>
        <v/>
      </c>
      <c r="J34" s="27"/>
      <c r="K34" s="27"/>
    </row>
    <row r="35" spans="2:11" x14ac:dyDescent="0.35">
      <c r="B35" s="27"/>
      <c r="C35" s="27"/>
      <c r="D35" s="27"/>
      <c r="E35" s="27"/>
      <c r="F35" s="27"/>
      <c r="G35" s="27"/>
      <c r="H35" s="27"/>
      <c r="I35" s="26" t="str">
        <f t="shared" si="1"/>
        <v/>
      </c>
      <c r="J35" s="27"/>
      <c r="K35" s="27"/>
    </row>
    <row r="36" spans="2:11" x14ac:dyDescent="0.35">
      <c r="B36" s="27"/>
      <c r="C36" s="27"/>
      <c r="D36" s="27"/>
      <c r="E36" s="27"/>
      <c r="F36" s="27"/>
      <c r="G36" s="27"/>
      <c r="H36" s="27"/>
      <c r="I36" s="26" t="str">
        <f t="shared" si="1"/>
        <v/>
      </c>
      <c r="J36" s="27"/>
      <c r="K36" s="27"/>
    </row>
    <row r="37" spans="2:11" x14ac:dyDescent="0.35">
      <c r="B37" s="27"/>
      <c r="C37" s="27"/>
      <c r="D37" s="27"/>
      <c r="E37" s="27"/>
      <c r="F37" s="27"/>
      <c r="G37" s="27"/>
      <c r="H37" s="27"/>
      <c r="I37" s="26" t="str">
        <f t="shared" si="1"/>
        <v/>
      </c>
      <c r="J37" s="27"/>
      <c r="K37" s="27"/>
    </row>
    <row r="38" spans="2:11" x14ac:dyDescent="0.35">
      <c r="B38" s="27"/>
      <c r="C38" s="27"/>
      <c r="D38" s="27"/>
      <c r="E38" s="27"/>
      <c r="F38" s="27"/>
      <c r="G38" s="27"/>
      <c r="H38" s="27"/>
      <c r="I38" s="26" t="str">
        <f t="shared" si="1"/>
        <v/>
      </c>
      <c r="J38" s="27"/>
      <c r="K38" s="27"/>
    </row>
    <row r="39" spans="2:11" x14ac:dyDescent="0.35">
      <c r="B39" s="27"/>
      <c r="C39" s="27"/>
      <c r="D39" s="27"/>
      <c r="E39" s="27"/>
      <c r="F39" s="27"/>
      <c r="G39" s="27"/>
      <c r="H39" s="27"/>
      <c r="I39" s="26" t="str">
        <f t="shared" si="1"/>
        <v/>
      </c>
      <c r="J39" s="27"/>
      <c r="K39" s="27"/>
    </row>
    <row r="40" spans="2:11" x14ac:dyDescent="0.35">
      <c r="B40" s="27"/>
      <c r="C40" s="27"/>
      <c r="D40" s="27"/>
      <c r="E40" s="27"/>
      <c r="F40" s="27"/>
      <c r="G40" s="27"/>
      <c r="H40" s="27"/>
      <c r="I40" s="26" t="str">
        <f t="shared" si="1"/>
        <v/>
      </c>
      <c r="J40" s="27"/>
      <c r="K40" s="27"/>
    </row>
    <row r="41" spans="2:11" x14ac:dyDescent="0.35">
      <c r="B41" s="27"/>
      <c r="C41" s="27"/>
      <c r="D41" s="27"/>
      <c r="E41" s="27"/>
      <c r="F41" s="27"/>
      <c r="G41" s="27"/>
      <c r="H41" s="27"/>
      <c r="I41" s="26" t="str">
        <f t="shared" si="1"/>
        <v/>
      </c>
      <c r="J41" s="27"/>
      <c r="K41" s="27"/>
    </row>
    <row r="42" spans="2:11" x14ac:dyDescent="0.35">
      <c r="B42" s="27"/>
      <c r="C42" s="27"/>
      <c r="D42" s="27"/>
      <c r="E42" s="27"/>
      <c r="F42" s="27"/>
      <c r="G42" s="27"/>
      <c r="H42" s="27"/>
      <c r="I42" s="26" t="str">
        <f t="shared" si="1"/>
        <v/>
      </c>
      <c r="J42" s="27"/>
      <c r="K42" s="27"/>
    </row>
    <row r="43" spans="2:11" x14ac:dyDescent="0.35">
      <c r="B43" s="27"/>
      <c r="C43" s="27"/>
      <c r="D43" s="27"/>
      <c r="E43" s="27"/>
      <c r="F43" s="27"/>
      <c r="G43" s="27"/>
      <c r="H43" s="27"/>
      <c r="I43" s="26" t="str">
        <f t="shared" si="1"/>
        <v/>
      </c>
      <c r="J43" s="27"/>
      <c r="K43" s="27"/>
    </row>
    <row r="44" spans="2:11" x14ac:dyDescent="0.35">
      <c r="B44" s="27"/>
      <c r="C44" s="27"/>
      <c r="D44" s="27"/>
      <c r="E44" s="27"/>
      <c r="F44" s="27"/>
      <c r="G44" s="27"/>
      <c r="H44" s="27"/>
      <c r="I44" s="26" t="str">
        <f t="shared" si="1"/>
        <v/>
      </c>
      <c r="J44" s="27"/>
      <c r="K44" s="27"/>
    </row>
    <row r="45" spans="2:11" x14ac:dyDescent="0.35">
      <c r="B45" s="27"/>
      <c r="C45" s="27"/>
      <c r="D45" s="27"/>
      <c r="E45" s="27"/>
      <c r="F45" s="27"/>
      <c r="G45" s="27"/>
      <c r="H45" s="27"/>
      <c r="I45" s="26" t="str">
        <f t="shared" si="1"/>
        <v/>
      </c>
      <c r="J45" s="27"/>
      <c r="K45" s="27"/>
    </row>
    <row r="46" spans="2:11" x14ac:dyDescent="0.35">
      <c r="B46" s="27"/>
      <c r="C46" s="27"/>
      <c r="D46" s="27"/>
      <c r="E46" s="27"/>
      <c r="F46" s="27"/>
      <c r="G46" s="27"/>
      <c r="H46" s="27"/>
      <c r="I46" s="26" t="str">
        <f t="shared" si="1"/>
        <v/>
      </c>
      <c r="J46" s="27"/>
      <c r="K46" s="27"/>
    </row>
    <row r="47" spans="2:11" x14ac:dyDescent="0.35">
      <c r="B47" s="27"/>
      <c r="C47" s="27"/>
      <c r="D47" s="27"/>
      <c r="E47" s="27"/>
      <c r="F47" s="27"/>
      <c r="G47" s="27"/>
      <c r="H47" s="27"/>
      <c r="I47" s="26" t="str">
        <f t="shared" si="1"/>
        <v/>
      </c>
      <c r="J47" s="27"/>
      <c r="K47" s="27"/>
    </row>
    <row r="48" spans="2:11" x14ac:dyDescent="0.35">
      <c r="B48" s="27"/>
      <c r="C48" s="27"/>
      <c r="D48" s="27"/>
      <c r="E48" s="27"/>
      <c r="F48" s="27"/>
      <c r="G48" s="27"/>
      <c r="H48" s="27"/>
      <c r="I48" s="26" t="str">
        <f t="shared" si="1"/>
        <v/>
      </c>
      <c r="J48" s="27"/>
      <c r="K48" s="27"/>
    </row>
    <row r="50" spans="2:11" x14ac:dyDescent="0.35">
      <c r="B50" s="16" t="s">
        <v>115</v>
      </c>
      <c r="C50" s="31"/>
      <c r="D50" s="31"/>
      <c r="E50" s="31"/>
      <c r="F50" s="31"/>
      <c r="G50" s="17">
        <f>SUM(G4:G48)</f>
        <v>15974</v>
      </c>
      <c r="H50" s="17">
        <f>SUM(H4:H48)</f>
        <v>792.5</v>
      </c>
      <c r="I50" s="17">
        <f>SUM(I4:I48)</f>
        <v>16766.5</v>
      </c>
      <c r="J50" s="31"/>
      <c r="K50" s="31"/>
    </row>
    <row r="52" spans="2:11" ht="15.5" x14ac:dyDescent="0.35">
      <c r="B52" s="68" t="s">
        <v>202</v>
      </c>
      <c r="C52" s="69"/>
      <c r="D52" s="69"/>
      <c r="E52" s="69"/>
    </row>
    <row r="53" spans="2:11" x14ac:dyDescent="0.35">
      <c r="B53" s="6" t="s">
        <v>123</v>
      </c>
      <c r="C53" s="6" t="s">
        <v>119</v>
      </c>
      <c r="D53" s="6" t="s">
        <v>203</v>
      </c>
    </row>
    <row r="54" spans="2:11" x14ac:dyDescent="0.35">
      <c r="B54" s="3" t="s">
        <v>130</v>
      </c>
      <c r="C54" s="26">
        <f t="shared" ref="C54:C68" si="2">SUMIF(E$4:E$48,B54,I$4:I$48)</f>
        <v>3256</v>
      </c>
      <c r="D54" s="32">
        <f t="shared" ref="D54:D68" si="3">IF($I$50=0,0,C54/$I$50)</f>
        <v>0.19419676139921868</v>
      </c>
    </row>
    <row r="55" spans="2:11" x14ac:dyDescent="0.35">
      <c r="B55" s="3" t="s">
        <v>135</v>
      </c>
      <c r="C55" s="26">
        <f t="shared" si="2"/>
        <v>1716</v>
      </c>
      <c r="D55" s="32">
        <f t="shared" si="3"/>
        <v>0.10234694181850715</v>
      </c>
    </row>
    <row r="56" spans="2:11" x14ac:dyDescent="0.35">
      <c r="B56" s="3" t="s">
        <v>150</v>
      </c>
      <c r="C56" s="26">
        <f t="shared" si="2"/>
        <v>748</v>
      </c>
      <c r="D56" s="32">
        <f t="shared" si="3"/>
        <v>4.4612769510631319E-2</v>
      </c>
    </row>
    <row r="57" spans="2:11" x14ac:dyDescent="0.35">
      <c r="B57" s="3" t="s">
        <v>155</v>
      </c>
      <c r="C57" s="26">
        <f t="shared" si="2"/>
        <v>1320</v>
      </c>
      <c r="D57" s="32">
        <f t="shared" si="3"/>
        <v>7.8728416783467037E-2</v>
      </c>
    </row>
    <row r="58" spans="2:11" x14ac:dyDescent="0.35">
      <c r="B58" s="3" t="s">
        <v>140</v>
      </c>
      <c r="C58" s="26">
        <f t="shared" si="2"/>
        <v>2450</v>
      </c>
      <c r="D58" s="32">
        <f t="shared" si="3"/>
        <v>0.14612471296931381</v>
      </c>
    </row>
    <row r="59" spans="2:11" x14ac:dyDescent="0.35">
      <c r="B59" s="3" t="s">
        <v>183</v>
      </c>
      <c r="C59" s="26">
        <f t="shared" si="2"/>
        <v>210</v>
      </c>
      <c r="D59" s="32">
        <f t="shared" si="3"/>
        <v>1.2524975397369756E-2</v>
      </c>
    </row>
    <row r="60" spans="2:11" x14ac:dyDescent="0.35">
      <c r="B60" s="3" t="s">
        <v>145</v>
      </c>
      <c r="C60" s="26">
        <f t="shared" si="2"/>
        <v>4500</v>
      </c>
      <c r="D60" s="32">
        <f t="shared" si="3"/>
        <v>0.2683923299436376</v>
      </c>
    </row>
    <row r="61" spans="2:11" x14ac:dyDescent="0.35">
      <c r="B61" s="3" t="s">
        <v>160</v>
      </c>
      <c r="C61" s="26">
        <f t="shared" si="2"/>
        <v>450</v>
      </c>
      <c r="D61" s="32">
        <f t="shared" si="3"/>
        <v>2.6839232994363763E-2</v>
      </c>
    </row>
    <row r="62" spans="2:11" x14ac:dyDescent="0.35">
      <c r="B62" s="3" t="s">
        <v>165</v>
      </c>
      <c r="C62" s="26">
        <f t="shared" si="2"/>
        <v>880</v>
      </c>
      <c r="D62" s="32">
        <f t="shared" si="3"/>
        <v>5.2485611188978022E-2</v>
      </c>
    </row>
    <row r="63" spans="2:11" x14ac:dyDescent="0.35">
      <c r="B63" s="3" t="s">
        <v>170</v>
      </c>
      <c r="C63" s="26">
        <f t="shared" si="2"/>
        <v>605</v>
      </c>
      <c r="D63" s="32">
        <f t="shared" si="3"/>
        <v>3.6083857692422387E-2</v>
      </c>
    </row>
    <row r="64" spans="2:11" x14ac:dyDescent="0.35">
      <c r="B64" s="3" t="s">
        <v>190</v>
      </c>
      <c r="C64" s="26">
        <f t="shared" si="2"/>
        <v>192.5</v>
      </c>
      <c r="D64" s="32">
        <f t="shared" si="3"/>
        <v>1.1481227447588942E-2</v>
      </c>
    </row>
    <row r="65" spans="2:4" x14ac:dyDescent="0.35">
      <c r="B65" s="3" t="s">
        <v>178</v>
      </c>
      <c r="C65" s="26">
        <f t="shared" si="2"/>
        <v>89</v>
      </c>
      <c r="D65" s="32">
        <f t="shared" si="3"/>
        <v>5.3082038588852772E-3</v>
      </c>
    </row>
    <row r="66" spans="2:4" x14ac:dyDescent="0.35">
      <c r="B66" s="3" t="s">
        <v>194</v>
      </c>
      <c r="C66" s="26">
        <f t="shared" si="2"/>
        <v>350</v>
      </c>
      <c r="D66" s="32">
        <f t="shared" si="3"/>
        <v>2.0874958995616259E-2</v>
      </c>
    </row>
    <row r="67" spans="2:4" x14ac:dyDescent="0.35">
      <c r="B67" s="3" t="s">
        <v>204</v>
      </c>
      <c r="C67" s="26">
        <f t="shared" si="2"/>
        <v>0</v>
      </c>
      <c r="D67" s="32">
        <f t="shared" si="3"/>
        <v>0</v>
      </c>
    </row>
    <row r="68" spans="2:4" x14ac:dyDescent="0.35">
      <c r="B68" s="3" t="s">
        <v>205</v>
      </c>
      <c r="C68" s="26">
        <f t="shared" si="2"/>
        <v>0</v>
      </c>
      <c r="D68" s="32">
        <f t="shared" si="3"/>
        <v>0</v>
      </c>
    </row>
    <row r="70" spans="2:4" ht="15.5" x14ac:dyDescent="0.35">
      <c r="B70" s="70" t="s">
        <v>206</v>
      </c>
      <c r="C70" s="71"/>
      <c r="D70" s="71"/>
    </row>
    <row r="71" spans="2:4" x14ac:dyDescent="0.35">
      <c r="B71" s="33" t="s">
        <v>207</v>
      </c>
      <c r="C71" s="34">
        <f>SUMIF(J4:J48,"Pending",I4:I48)</f>
        <v>2407</v>
      </c>
    </row>
  </sheetData>
  <mergeCells count="3">
    <mergeCell ref="B1:J1"/>
    <mergeCell ref="B70:D70"/>
    <mergeCell ref="B52:E52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N18"/>
  <sheetViews>
    <sheetView zoomScale="90" zoomScaleNormal="90" workbookViewId="0">
      <pane xSplit="2" ySplit="4" topLeftCell="C5" activePane="bottomRight" state="frozen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3" customWidth="1"/>
    <col min="2" max="2" width="19.54296875" customWidth="1"/>
    <col min="3" max="3" width="16.453125" customWidth="1"/>
    <col min="4" max="4" width="23" customWidth="1"/>
    <col min="5" max="5" width="14" customWidth="1"/>
    <col min="6" max="6" width="12" customWidth="1"/>
    <col min="7" max="7" width="11.08984375" customWidth="1"/>
    <col min="8" max="8" width="13.26953125" customWidth="1"/>
    <col min="9" max="10" width="12" customWidth="1"/>
    <col min="11" max="11" width="11.26953125" customWidth="1"/>
    <col min="12" max="12" width="15.36328125" customWidth="1"/>
    <col min="13" max="13" width="14.81640625" customWidth="1"/>
    <col min="14" max="14" width="8.81640625" customWidth="1"/>
  </cols>
  <sheetData>
    <row r="1" spans="2:14" ht="28" customHeight="1" x14ac:dyDescent="0.35">
      <c r="B1" s="56" t="s">
        <v>321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2:14" x14ac:dyDescent="0.35">
      <c r="B2" s="1" t="s">
        <v>208</v>
      </c>
      <c r="C2" s="2" t="s">
        <v>209</v>
      </c>
      <c r="E2" s="1" t="s">
        <v>210</v>
      </c>
      <c r="F2" s="35">
        <v>46326</v>
      </c>
    </row>
    <row r="4" spans="2:14" ht="30" customHeight="1" x14ac:dyDescent="0.35">
      <c r="B4" s="20" t="s">
        <v>211</v>
      </c>
      <c r="C4" s="20" t="s">
        <v>212</v>
      </c>
      <c r="D4" s="20" t="s">
        <v>213</v>
      </c>
      <c r="E4" s="20" t="s">
        <v>214</v>
      </c>
      <c r="F4" s="20" t="s">
        <v>215</v>
      </c>
      <c r="G4" s="20" t="s">
        <v>216</v>
      </c>
      <c r="H4" s="20" t="s">
        <v>217</v>
      </c>
      <c r="I4" s="20" t="s">
        <v>218</v>
      </c>
      <c r="J4" s="20" t="s">
        <v>219</v>
      </c>
      <c r="K4" s="20" t="s">
        <v>220</v>
      </c>
      <c r="L4" s="20" t="s">
        <v>221</v>
      </c>
      <c r="M4" s="20" t="s">
        <v>222</v>
      </c>
      <c r="N4" s="20" t="s">
        <v>117</v>
      </c>
    </row>
    <row r="5" spans="2:14" ht="25" x14ac:dyDescent="0.35">
      <c r="B5" s="14">
        <v>1</v>
      </c>
      <c r="C5" s="23" t="s">
        <v>346</v>
      </c>
      <c r="D5" s="23" t="s">
        <v>223</v>
      </c>
      <c r="E5" s="22" t="s">
        <v>224</v>
      </c>
      <c r="F5" s="25">
        <v>5000</v>
      </c>
      <c r="G5" s="25">
        <v>200</v>
      </c>
      <c r="H5" s="25">
        <v>200</v>
      </c>
      <c r="I5" s="26">
        <f t="shared" ref="I5:I10" si="0">F5+G5+H5</f>
        <v>5400</v>
      </c>
      <c r="J5" s="25">
        <v>420</v>
      </c>
      <c r="K5" s="25">
        <v>50</v>
      </c>
      <c r="L5" s="26">
        <f t="shared" ref="L5:L10" si="1">I5-J5-K5</f>
        <v>4930</v>
      </c>
      <c r="M5" s="22" t="s">
        <v>225</v>
      </c>
      <c r="N5" s="22" t="s">
        <v>65</v>
      </c>
    </row>
    <row r="6" spans="2:14" x14ac:dyDescent="0.35">
      <c r="B6" s="14">
        <v>2</v>
      </c>
      <c r="C6" s="23" t="s">
        <v>348</v>
      </c>
      <c r="D6" s="23" t="s">
        <v>349</v>
      </c>
      <c r="E6" s="22" t="s">
        <v>224</v>
      </c>
      <c r="F6" s="25">
        <v>1900</v>
      </c>
      <c r="G6" s="25">
        <v>180</v>
      </c>
      <c r="H6" s="25">
        <v>80</v>
      </c>
      <c r="I6" s="26">
        <f>F6+G6+H6</f>
        <v>2160</v>
      </c>
      <c r="J6" s="25">
        <v>285</v>
      </c>
      <c r="K6" s="25">
        <v>15</v>
      </c>
      <c r="L6" s="26">
        <f>I6-J6-K6</f>
        <v>1860</v>
      </c>
      <c r="M6" s="22" t="s">
        <v>225</v>
      </c>
      <c r="N6" s="22" t="s">
        <v>65</v>
      </c>
    </row>
    <row r="7" spans="2:14" x14ac:dyDescent="0.35">
      <c r="B7" s="14">
        <v>3</v>
      </c>
      <c r="C7" s="23" t="s">
        <v>347</v>
      </c>
      <c r="D7" s="23" t="s">
        <v>226</v>
      </c>
      <c r="E7" s="22" t="s">
        <v>224</v>
      </c>
      <c r="F7" s="25">
        <v>4000</v>
      </c>
      <c r="G7" s="25">
        <v>120</v>
      </c>
      <c r="H7" s="25">
        <v>150</v>
      </c>
      <c r="I7" s="26">
        <f t="shared" si="0"/>
        <v>4270</v>
      </c>
      <c r="J7" s="25">
        <v>360</v>
      </c>
      <c r="K7" s="25">
        <v>30</v>
      </c>
      <c r="L7" s="26">
        <f t="shared" si="1"/>
        <v>3880</v>
      </c>
      <c r="M7" s="22" t="s">
        <v>225</v>
      </c>
      <c r="N7" s="22" t="s">
        <v>74</v>
      </c>
    </row>
    <row r="8" spans="2:14" x14ac:dyDescent="0.35">
      <c r="B8" s="14">
        <v>4</v>
      </c>
      <c r="C8" s="23" t="s">
        <v>351</v>
      </c>
      <c r="D8" s="23" t="s">
        <v>353</v>
      </c>
      <c r="E8" s="22" t="s">
        <v>224</v>
      </c>
      <c r="F8" s="25">
        <v>4500</v>
      </c>
      <c r="G8" s="25">
        <v>200</v>
      </c>
      <c r="H8" s="25">
        <v>100</v>
      </c>
      <c r="I8" s="26">
        <f t="shared" si="0"/>
        <v>4800</v>
      </c>
      <c r="J8" s="25">
        <v>330</v>
      </c>
      <c r="K8" s="25">
        <v>20</v>
      </c>
      <c r="L8" s="26">
        <f t="shared" si="1"/>
        <v>4450</v>
      </c>
      <c r="M8" s="22" t="s">
        <v>225</v>
      </c>
      <c r="N8" s="22" t="s">
        <v>65</v>
      </c>
    </row>
    <row r="9" spans="2:14" x14ac:dyDescent="0.35">
      <c r="B9" s="14">
        <v>5</v>
      </c>
      <c r="C9" s="23" t="s">
        <v>352</v>
      </c>
      <c r="D9" s="23" t="s">
        <v>227</v>
      </c>
      <c r="E9" s="22" t="s">
        <v>229</v>
      </c>
      <c r="F9" s="25">
        <v>2100</v>
      </c>
      <c r="G9" s="25">
        <v>100</v>
      </c>
      <c r="H9" s="25">
        <v>100</v>
      </c>
      <c r="I9" s="26">
        <f t="shared" si="0"/>
        <v>2300</v>
      </c>
      <c r="J9" s="25">
        <v>315</v>
      </c>
      <c r="K9" s="25">
        <v>25</v>
      </c>
      <c r="L9" s="26">
        <f t="shared" si="1"/>
        <v>1960</v>
      </c>
      <c r="M9" s="22" t="s">
        <v>225</v>
      </c>
      <c r="N9" s="22" t="s">
        <v>65</v>
      </c>
    </row>
    <row r="10" spans="2:14" x14ac:dyDescent="0.35">
      <c r="B10" s="14">
        <v>6</v>
      </c>
      <c r="C10" s="23" t="s">
        <v>350</v>
      </c>
      <c r="D10" s="23" t="s">
        <v>228</v>
      </c>
      <c r="E10" s="22" t="s">
        <v>229</v>
      </c>
      <c r="F10" s="25">
        <v>2000</v>
      </c>
      <c r="G10" s="25">
        <v>0</v>
      </c>
      <c r="H10" s="25">
        <v>250</v>
      </c>
      <c r="I10" s="26">
        <f t="shared" si="0"/>
        <v>2250</v>
      </c>
      <c r="J10" s="25">
        <v>300</v>
      </c>
      <c r="K10" s="25">
        <v>40</v>
      </c>
      <c r="L10" s="26">
        <f t="shared" si="1"/>
        <v>1910</v>
      </c>
      <c r="M10" s="22" t="s">
        <v>225</v>
      </c>
      <c r="N10" s="22" t="s">
        <v>65</v>
      </c>
    </row>
    <row r="12" spans="2:14" x14ac:dyDescent="0.35">
      <c r="B12" s="31"/>
      <c r="C12" s="16" t="s">
        <v>115</v>
      </c>
      <c r="D12" s="31"/>
      <c r="E12" s="31"/>
      <c r="F12" s="17">
        <f>SUM(F5:F10)</f>
        <v>19500</v>
      </c>
      <c r="G12" s="17">
        <f>SUM(G5:G10)</f>
        <v>800</v>
      </c>
      <c r="H12" s="17">
        <f>SUM(H5:H10)</f>
        <v>880</v>
      </c>
      <c r="I12" s="17">
        <f>SUM(I5:I10)</f>
        <v>21180</v>
      </c>
      <c r="J12" s="17">
        <f>SUM(J5:J10)</f>
        <v>2010</v>
      </c>
      <c r="K12" s="17">
        <f>SUM(K5:K10)</f>
        <v>180</v>
      </c>
      <c r="L12" s="17">
        <f>SUM(L5:L10)</f>
        <v>18990</v>
      </c>
      <c r="M12" s="31"/>
      <c r="N12" s="31"/>
    </row>
    <row r="14" spans="2:14" ht="15.5" x14ac:dyDescent="0.35">
      <c r="B14" s="68" t="s">
        <v>230</v>
      </c>
      <c r="C14" s="69"/>
      <c r="D14" s="69"/>
      <c r="E14" s="69"/>
    </row>
    <row r="15" spans="2:14" x14ac:dyDescent="0.35">
      <c r="B15" s="33" t="s">
        <v>231</v>
      </c>
      <c r="C15" s="26">
        <f>I12</f>
        <v>21180</v>
      </c>
      <c r="E15" s="33" t="s">
        <v>232</v>
      </c>
      <c r="F15" s="36">
        <f>COUNTIF(E5:E10,"Full-time")</f>
        <v>4</v>
      </c>
    </row>
    <row r="16" spans="2:14" x14ac:dyDescent="0.35">
      <c r="B16" s="33" t="s">
        <v>233</v>
      </c>
      <c r="C16" s="26">
        <f>J12+K12</f>
        <v>2190</v>
      </c>
      <c r="E16" s="33" t="s">
        <v>234</v>
      </c>
      <c r="F16" s="36">
        <f>COUNTIF(E5:E10,"Part-time")</f>
        <v>2</v>
      </c>
    </row>
    <row r="17" spans="2:3" x14ac:dyDescent="0.35">
      <c r="B17" s="33" t="s">
        <v>235</v>
      </c>
      <c r="C17" s="37">
        <f>L12</f>
        <v>18990</v>
      </c>
    </row>
    <row r="18" spans="2:3" x14ac:dyDescent="0.35">
      <c r="B18" s="33" t="s">
        <v>236</v>
      </c>
      <c r="C18" s="36">
        <f>COUNTA(C5:C10)</f>
        <v>6</v>
      </c>
    </row>
  </sheetData>
  <mergeCells count="2">
    <mergeCell ref="B14:E14"/>
    <mergeCell ref="B1:M1"/>
  </mergeCells>
  <dataValidations count="3">
    <dataValidation type="list" allowBlank="1" sqref="E9:E10 E5:E8" xr:uid="{00000000-0002-0000-0300-000000000000}">
      <formula1>"Full-time,Part-time,Contract"</formula1>
    </dataValidation>
    <dataValidation type="list" allowBlank="1" sqref="M9:M10 M5:M8" xr:uid="{00000000-0002-0000-0300-000001000000}">
      <formula1>"Bank Transfer,Cash,Cheque"</formula1>
    </dataValidation>
    <dataValidation type="list" allowBlank="1" sqref="N9:N10 N5:N8" xr:uid="{00000000-0002-0000-0300-000002000000}">
      <formula1>"Paid,Pending,On Hold"</formula1>
    </dataValidation>
  </dataValidation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E46"/>
  <sheetViews>
    <sheetView workbookViewId="0">
      <pane xSplit="1" ySplit="5" topLeftCell="B41" activePane="bottomRight" state="frozen"/>
      <selection pane="topRight"/>
      <selection pane="bottomLeft"/>
      <selection pane="bottomRight" activeCell="E6" sqref="E6"/>
    </sheetView>
  </sheetViews>
  <sheetFormatPr defaultRowHeight="14.5" x14ac:dyDescent="0.35"/>
  <cols>
    <col min="1" max="1" width="3" customWidth="1"/>
    <col min="2" max="2" width="32" customWidth="1"/>
    <col min="3" max="3" width="16" customWidth="1"/>
    <col min="4" max="4" width="14" customWidth="1"/>
    <col min="5" max="5" width="44.26953125" customWidth="1"/>
    <col min="6" max="6" width="3" customWidth="1"/>
  </cols>
  <sheetData>
    <row r="1" spans="2:5" ht="28" customHeight="1" x14ac:dyDescent="0.35">
      <c r="B1" s="56" t="s">
        <v>322</v>
      </c>
      <c r="C1" s="57"/>
      <c r="D1" s="57"/>
      <c r="E1" s="57"/>
    </row>
    <row r="2" spans="2:5" x14ac:dyDescent="0.35">
      <c r="B2" s="1" t="s">
        <v>237</v>
      </c>
      <c r="C2" s="2" t="s">
        <v>2</v>
      </c>
    </row>
    <row r="3" spans="2:5" x14ac:dyDescent="0.35">
      <c r="B3" s="1" t="s">
        <v>238</v>
      </c>
      <c r="C3" s="2" t="s">
        <v>239</v>
      </c>
    </row>
    <row r="5" spans="2:5" ht="31" x14ac:dyDescent="0.35">
      <c r="B5" s="38" t="s">
        <v>124</v>
      </c>
      <c r="C5" s="20" t="s">
        <v>125</v>
      </c>
      <c r="D5" s="20" t="s">
        <v>240</v>
      </c>
    </row>
    <row r="6" spans="2:5" ht="15.5" x14ac:dyDescent="0.35">
      <c r="B6" s="4" t="s">
        <v>241</v>
      </c>
      <c r="C6" s="5"/>
      <c r="D6" s="5"/>
    </row>
    <row r="7" spans="2:5" x14ac:dyDescent="0.35">
      <c r="B7" s="3" t="s">
        <v>242</v>
      </c>
      <c r="C7" s="39">
        <v>28500</v>
      </c>
      <c r="D7" s="32">
        <f t="shared" ref="D7:D12" si="0">IF($C$20=0,0,C7/$C$20)</f>
        <v>0.48305084745762711</v>
      </c>
    </row>
    <row r="8" spans="2:5" x14ac:dyDescent="0.35">
      <c r="B8" s="3" t="s">
        <v>243</v>
      </c>
      <c r="C8" s="39">
        <v>14200</v>
      </c>
      <c r="D8" s="32">
        <f t="shared" si="0"/>
        <v>0.24067796610169492</v>
      </c>
    </row>
    <row r="9" spans="2:5" x14ac:dyDescent="0.35">
      <c r="B9" s="3" t="s">
        <v>244</v>
      </c>
      <c r="C9" s="39">
        <v>4200</v>
      </c>
      <c r="D9" s="32">
        <f t="shared" si="0"/>
        <v>7.1186440677966104E-2</v>
      </c>
    </row>
    <row r="10" spans="2:5" x14ac:dyDescent="0.35">
      <c r="B10" s="3" t="s">
        <v>245</v>
      </c>
      <c r="C10" s="39">
        <v>6800</v>
      </c>
      <c r="D10" s="32">
        <f t="shared" si="0"/>
        <v>0.11525423728813559</v>
      </c>
    </row>
    <row r="11" spans="2:5" x14ac:dyDescent="0.35">
      <c r="B11" s="3" t="s">
        <v>246</v>
      </c>
      <c r="C11" s="39">
        <v>3500</v>
      </c>
      <c r="D11" s="32">
        <f t="shared" si="0"/>
        <v>5.9322033898305086E-2</v>
      </c>
    </row>
    <row r="12" spans="2:5" x14ac:dyDescent="0.35">
      <c r="B12" s="3" t="s">
        <v>247</v>
      </c>
      <c r="C12" s="39">
        <v>1800</v>
      </c>
      <c r="D12" s="32">
        <f t="shared" si="0"/>
        <v>3.0508474576271188E-2</v>
      </c>
    </row>
    <row r="14" spans="2:5" ht="15.5" x14ac:dyDescent="0.35">
      <c r="B14" s="40" t="s">
        <v>248</v>
      </c>
      <c r="C14" s="41"/>
      <c r="D14" s="41"/>
    </row>
    <row r="15" spans="2:5" x14ac:dyDescent="0.35">
      <c r="B15" s="3" t="s">
        <v>130</v>
      </c>
      <c r="C15" s="39">
        <v>2960</v>
      </c>
      <c r="D15" s="32">
        <f>IF($C$20=0,0,C15/$C$20)</f>
        <v>5.0169491525423729E-2</v>
      </c>
    </row>
    <row r="16" spans="2:5" x14ac:dyDescent="0.35">
      <c r="B16" s="3" t="s">
        <v>249</v>
      </c>
      <c r="C16" s="39">
        <v>2464</v>
      </c>
      <c r="D16" s="32">
        <f>IF($C$20=0,0,C16/$C$20)</f>
        <v>4.1762711864406776E-2</v>
      </c>
    </row>
    <row r="17" spans="2:4" x14ac:dyDescent="0.35">
      <c r="B17" s="3" t="s">
        <v>250</v>
      </c>
      <c r="C17" s="39">
        <v>748</v>
      </c>
      <c r="D17" s="32">
        <f>IF($C$20=0,0,C17/$C$20)</f>
        <v>1.2677966101694915E-2</v>
      </c>
    </row>
    <row r="18" spans="2:4" x14ac:dyDescent="0.35">
      <c r="B18" s="3" t="s">
        <v>251</v>
      </c>
      <c r="C18" s="39">
        <v>1280</v>
      </c>
      <c r="D18" s="32">
        <f>IF($C$20=0,0,C18/$C$20)</f>
        <v>2.169491525423729E-2</v>
      </c>
    </row>
    <row r="19" spans="2:4" x14ac:dyDescent="0.35">
      <c r="B19" s="42" t="s">
        <v>252</v>
      </c>
      <c r="C19" s="43">
        <f>SUM(C15:C18)</f>
        <v>7452</v>
      </c>
      <c r="D19" s="44">
        <f>IF($C$20=0,0,C19/$C$20)</f>
        <v>0.12630508474576271</v>
      </c>
    </row>
    <row r="20" spans="2:4" x14ac:dyDescent="0.35">
      <c r="B20" s="45" t="s">
        <v>253</v>
      </c>
      <c r="C20" s="46">
        <f>SUM(C7:C12)</f>
        <v>59000</v>
      </c>
      <c r="D20" s="47">
        <f>1</f>
        <v>1</v>
      </c>
    </row>
    <row r="22" spans="2:4" x14ac:dyDescent="0.35">
      <c r="B22" s="48" t="s">
        <v>254</v>
      </c>
      <c r="C22" s="49">
        <f>C20-C19</f>
        <v>51548</v>
      </c>
      <c r="D22" s="50">
        <f>IF($C$20=0,0,C22/$C$20)</f>
        <v>0.87369491525423726</v>
      </c>
    </row>
    <row r="24" spans="2:4" ht="15.5" x14ac:dyDescent="0.35">
      <c r="B24" s="40" t="s">
        <v>255</v>
      </c>
      <c r="C24" s="41"/>
      <c r="D24" s="41"/>
    </row>
    <row r="25" spans="2:4" x14ac:dyDescent="0.35">
      <c r="B25" s="3" t="s">
        <v>256</v>
      </c>
      <c r="C25" s="39">
        <v>18720</v>
      </c>
      <c r="D25" s="32">
        <f t="shared" ref="D25:D36" si="1">IF($C$20=0,0,C25/$C$20)</f>
        <v>0.31728813559322033</v>
      </c>
    </row>
    <row r="26" spans="2:4" x14ac:dyDescent="0.35">
      <c r="B26" s="3" t="s">
        <v>145</v>
      </c>
      <c r="C26" s="39">
        <v>4500</v>
      </c>
      <c r="D26" s="32">
        <f t="shared" si="1"/>
        <v>7.6271186440677971E-2</v>
      </c>
    </row>
    <row r="27" spans="2:4" x14ac:dyDescent="0.35">
      <c r="B27" s="3" t="s">
        <v>257</v>
      </c>
      <c r="C27" s="39">
        <v>2660</v>
      </c>
      <c r="D27" s="32">
        <f t="shared" si="1"/>
        <v>4.5084745762711861E-2</v>
      </c>
    </row>
    <row r="28" spans="2:4" x14ac:dyDescent="0.35">
      <c r="B28" s="3" t="s">
        <v>155</v>
      </c>
      <c r="C28" s="39">
        <v>1320</v>
      </c>
      <c r="D28" s="32">
        <f t="shared" si="1"/>
        <v>2.2372881355932205E-2</v>
      </c>
    </row>
    <row r="29" spans="2:4" x14ac:dyDescent="0.35">
      <c r="B29" s="3" t="s">
        <v>160</v>
      </c>
      <c r="C29" s="39">
        <v>450</v>
      </c>
      <c r="D29" s="32">
        <f t="shared" si="1"/>
        <v>7.6271186440677969E-3</v>
      </c>
    </row>
    <row r="30" spans="2:4" x14ac:dyDescent="0.35">
      <c r="B30" s="3" t="s">
        <v>165</v>
      </c>
      <c r="C30" s="39">
        <v>880</v>
      </c>
      <c r="D30" s="32">
        <f t="shared" si="1"/>
        <v>1.4915254237288136E-2</v>
      </c>
    </row>
    <row r="31" spans="2:4" x14ac:dyDescent="0.35">
      <c r="B31" s="3" t="s">
        <v>170</v>
      </c>
      <c r="C31" s="39">
        <v>605</v>
      </c>
      <c r="D31" s="32">
        <f t="shared" si="1"/>
        <v>1.0254237288135593E-2</v>
      </c>
    </row>
    <row r="32" spans="2:4" x14ac:dyDescent="0.35">
      <c r="B32" s="3" t="s">
        <v>178</v>
      </c>
      <c r="C32" s="39">
        <v>89</v>
      </c>
      <c r="D32" s="32">
        <f t="shared" si="1"/>
        <v>1.5084745762711865E-3</v>
      </c>
    </row>
    <row r="33" spans="2:4" x14ac:dyDescent="0.35">
      <c r="B33" s="3" t="s">
        <v>190</v>
      </c>
      <c r="C33" s="39">
        <v>192.5</v>
      </c>
      <c r="D33" s="32">
        <f t="shared" si="1"/>
        <v>3.2627118644067798E-3</v>
      </c>
    </row>
    <row r="34" spans="2:4" x14ac:dyDescent="0.35">
      <c r="B34" s="3" t="s">
        <v>194</v>
      </c>
      <c r="C34" s="39">
        <v>350</v>
      </c>
      <c r="D34" s="32">
        <f t="shared" si="1"/>
        <v>5.9322033898305086E-3</v>
      </c>
    </row>
    <row r="35" spans="2:4" x14ac:dyDescent="0.35">
      <c r="B35" s="3" t="s">
        <v>258</v>
      </c>
      <c r="C35" s="39">
        <v>250</v>
      </c>
      <c r="D35" s="32">
        <f t="shared" si="1"/>
        <v>4.2372881355932203E-3</v>
      </c>
    </row>
    <row r="36" spans="2:4" x14ac:dyDescent="0.35">
      <c r="B36" s="42" t="s">
        <v>259</v>
      </c>
      <c r="C36" s="43">
        <f>SUM(C25:C35)</f>
        <v>30016.5</v>
      </c>
      <c r="D36" s="44">
        <f t="shared" si="1"/>
        <v>0.50875423728813562</v>
      </c>
    </row>
    <row r="38" spans="2:4" ht="15.5" x14ac:dyDescent="0.35">
      <c r="B38" s="51" t="s">
        <v>260</v>
      </c>
      <c r="C38" s="52">
        <f>C22-C36</f>
        <v>21531.5</v>
      </c>
      <c r="D38" s="53">
        <f>IF($C$20=0,0,C38/$C$20)</f>
        <v>0.36494067796610169</v>
      </c>
    </row>
    <row r="39" spans="2:4" x14ac:dyDescent="0.35">
      <c r="B39" s="33" t="s">
        <v>261</v>
      </c>
      <c r="C39" s="26">
        <f>C38</f>
        <v>21531.5</v>
      </c>
      <c r="D39" s="54">
        <f>IF($C$20=0,0,C38/$C$20)</f>
        <v>0.36494067796610169</v>
      </c>
    </row>
    <row r="41" spans="2:4" ht="15.5" x14ac:dyDescent="0.35">
      <c r="B41" s="68" t="s">
        <v>262</v>
      </c>
      <c r="C41" s="69"/>
      <c r="D41" s="69"/>
    </row>
    <row r="42" spans="2:4" x14ac:dyDescent="0.35">
      <c r="B42" s="63" t="s">
        <v>263</v>
      </c>
      <c r="C42" s="64"/>
      <c r="D42" s="64"/>
    </row>
    <row r="43" spans="2:4" x14ac:dyDescent="0.35">
      <c r="B43" s="63" t="s">
        <v>264</v>
      </c>
      <c r="C43" s="64"/>
      <c r="D43" s="64"/>
    </row>
    <row r="44" spans="2:4" x14ac:dyDescent="0.35">
      <c r="B44" s="63" t="s">
        <v>265</v>
      </c>
      <c r="C44" s="64"/>
      <c r="D44" s="64"/>
    </row>
    <row r="45" spans="2:4" x14ac:dyDescent="0.35">
      <c r="B45" s="63" t="s">
        <v>266</v>
      </c>
      <c r="C45" s="64"/>
      <c r="D45" s="64"/>
    </row>
    <row r="46" spans="2:4" x14ac:dyDescent="0.35">
      <c r="B46" s="63" t="s">
        <v>267</v>
      </c>
      <c r="C46" s="64"/>
      <c r="D46" s="64"/>
    </row>
  </sheetData>
  <mergeCells count="7">
    <mergeCell ref="B42:D42"/>
    <mergeCell ref="B1:E1"/>
    <mergeCell ref="B45:D45"/>
    <mergeCell ref="B46:D46"/>
    <mergeCell ref="B41:D41"/>
    <mergeCell ref="B44:D44"/>
    <mergeCell ref="B43:D43"/>
  </mergeCell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G37"/>
  <sheetViews>
    <sheetView topLeftCell="A20" workbookViewId="0">
      <selection activeCell="B4" sqref="B4:D4"/>
    </sheetView>
  </sheetViews>
  <sheetFormatPr defaultRowHeight="14.5" x14ac:dyDescent="0.35"/>
  <cols>
    <col min="1" max="1" width="3" customWidth="1"/>
    <col min="2" max="2" width="28" customWidth="1"/>
    <col min="3" max="6" width="14" customWidth="1"/>
    <col min="7" max="7" width="35.81640625" customWidth="1"/>
    <col min="8" max="8" width="3" customWidth="1"/>
  </cols>
  <sheetData>
    <row r="1" spans="2:7" ht="28" customHeight="1" x14ac:dyDescent="0.35">
      <c r="B1" s="56" t="s">
        <v>323</v>
      </c>
      <c r="C1" s="57"/>
      <c r="D1" s="57"/>
      <c r="E1" s="57"/>
      <c r="F1" s="57"/>
      <c r="G1" s="57"/>
    </row>
    <row r="2" spans="2:7" x14ac:dyDescent="0.35">
      <c r="B2" s="1" t="s">
        <v>268</v>
      </c>
      <c r="C2" s="35">
        <v>46313</v>
      </c>
    </row>
    <row r="4" spans="2:7" ht="15.5" x14ac:dyDescent="0.35">
      <c r="B4" s="65" t="s">
        <v>269</v>
      </c>
      <c r="C4" s="66"/>
      <c r="D4" s="66"/>
    </row>
    <row r="5" spans="2:7" x14ac:dyDescent="0.35">
      <c r="B5" s="6" t="s">
        <v>270</v>
      </c>
      <c r="C5" s="6" t="s">
        <v>271</v>
      </c>
      <c r="D5" s="6" t="s">
        <v>8</v>
      </c>
    </row>
    <row r="6" spans="2:7" x14ac:dyDescent="0.35">
      <c r="B6" s="3" t="s">
        <v>272</v>
      </c>
      <c r="C6" s="39">
        <v>28500</v>
      </c>
      <c r="D6" s="3" t="s">
        <v>273</v>
      </c>
    </row>
    <row r="7" spans="2:7" x14ac:dyDescent="0.35">
      <c r="B7" s="3" t="s">
        <v>274</v>
      </c>
      <c r="C7" s="39">
        <v>500</v>
      </c>
      <c r="D7" s="3" t="s">
        <v>275</v>
      </c>
    </row>
    <row r="8" spans="2:7" x14ac:dyDescent="0.35">
      <c r="B8" s="3" t="s">
        <v>276</v>
      </c>
      <c r="C8" s="39">
        <v>42000</v>
      </c>
      <c r="D8" s="3" t="s">
        <v>277</v>
      </c>
    </row>
    <row r="9" spans="2:7" x14ac:dyDescent="0.35">
      <c r="B9" s="3" t="s">
        <v>278</v>
      </c>
      <c r="C9" s="39">
        <v>8500</v>
      </c>
      <c r="D9" s="3" t="s">
        <v>279</v>
      </c>
    </row>
    <row r="10" spans="2:7" x14ac:dyDescent="0.35">
      <c r="B10" s="16" t="s">
        <v>280</v>
      </c>
      <c r="C10" s="17">
        <f>SUM(C6:C9)</f>
        <v>79500</v>
      </c>
    </row>
    <row r="12" spans="2:7" ht="15.5" x14ac:dyDescent="0.35">
      <c r="B12" s="65" t="s">
        <v>281</v>
      </c>
      <c r="C12" s="66"/>
      <c r="D12" s="66"/>
      <c r="E12" s="66"/>
    </row>
    <row r="13" spans="2:7" x14ac:dyDescent="0.35">
      <c r="B13" s="6" t="s">
        <v>124</v>
      </c>
      <c r="C13" s="6" t="s">
        <v>282</v>
      </c>
      <c r="D13" s="6" t="s">
        <v>283</v>
      </c>
      <c r="E13" s="6" t="s">
        <v>284</v>
      </c>
    </row>
    <row r="14" spans="2:7" x14ac:dyDescent="0.35">
      <c r="B14" s="3" t="s">
        <v>285</v>
      </c>
      <c r="C14" s="39">
        <v>41200</v>
      </c>
      <c r="D14" s="39"/>
      <c r="E14" s="26">
        <f t="shared" ref="E14:E21" si="0">IF(AND(C14="",D14=""),"",IF(C14="",0,C14)-IF(D14="",0,D14))</f>
        <v>41200</v>
      </c>
    </row>
    <row r="15" spans="2:7" x14ac:dyDescent="0.35">
      <c r="B15" s="3" t="s">
        <v>286</v>
      </c>
      <c r="C15" s="39">
        <v>1800</v>
      </c>
      <c r="D15" s="39"/>
      <c r="E15" s="26">
        <f t="shared" si="0"/>
        <v>1800</v>
      </c>
    </row>
    <row r="16" spans="2:7" x14ac:dyDescent="0.35">
      <c r="B16" s="3" t="s">
        <v>287</v>
      </c>
      <c r="C16" s="39"/>
      <c r="D16" s="39">
        <v>12500</v>
      </c>
      <c r="E16" s="26">
        <f t="shared" si="0"/>
        <v>-12500</v>
      </c>
    </row>
    <row r="17" spans="2:5" x14ac:dyDescent="0.35">
      <c r="B17" s="3" t="s">
        <v>288</v>
      </c>
      <c r="C17" s="39"/>
      <c r="D17" s="39">
        <v>18720</v>
      </c>
      <c r="E17" s="26">
        <f t="shared" si="0"/>
        <v>-18720</v>
      </c>
    </row>
    <row r="18" spans="2:5" x14ac:dyDescent="0.35">
      <c r="B18" s="3" t="s">
        <v>289</v>
      </c>
      <c r="C18" s="39"/>
      <c r="D18" s="39">
        <v>7160</v>
      </c>
      <c r="E18" s="26">
        <f t="shared" si="0"/>
        <v>-7160</v>
      </c>
    </row>
    <row r="19" spans="2:5" x14ac:dyDescent="0.35">
      <c r="B19" s="3" t="s">
        <v>290</v>
      </c>
      <c r="C19" s="39"/>
      <c r="D19" s="39">
        <v>3850</v>
      </c>
      <c r="E19" s="26">
        <f t="shared" si="0"/>
        <v>-3850</v>
      </c>
    </row>
    <row r="20" spans="2:5" x14ac:dyDescent="0.35">
      <c r="B20" s="3" t="s">
        <v>291</v>
      </c>
      <c r="C20" s="39"/>
      <c r="D20" s="39">
        <v>5000</v>
      </c>
      <c r="E20" s="26">
        <f t="shared" si="0"/>
        <v>-5000</v>
      </c>
    </row>
    <row r="21" spans="2:5" x14ac:dyDescent="0.35">
      <c r="B21" s="3" t="s">
        <v>292</v>
      </c>
      <c r="C21" s="39"/>
      <c r="D21" s="39">
        <v>2000</v>
      </c>
      <c r="E21" s="26">
        <f t="shared" si="0"/>
        <v>-2000</v>
      </c>
    </row>
    <row r="22" spans="2:5" x14ac:dyDescent="0.35">
      <c r="B22" s="16" t="s">
        <v>293</v>
      </c>
      <c r="C22" s="17">
        <f>SUM(C14:C21)</f>
        <v>43000</v>
      </c>
      <c r="D22" s="17">
        <f>SUM(D14:D21)</f>
        <v>49230</v>
      </c>
      <c r="E22" s="17">
        <f>C22-D22</f>
        <v>-6230</v>
      </c>
    </row>
    <row r="24" spans="2:5" ht="15.5" x14ac:dyDescent="0.35">
      <c r="B24" s="72" t="s">
        <v>294</v>
      </c>
      <c r="C24" s="57"/>
      <c r="D24" s="57"/>
    </row>
    <row r="25" spans="2:5" x14ac:dyDescent="0.35">
      <c r="B25" s="6" t="s">
        <v>270</v>
      </c>
      <c r="C25" s="6" t="s">
        <v>295</v>
      </c>
      <c r="D25" s="6" t="s">
        <v>296</v>
      </c>
    </row>
    <row r="26" spans="2:5" x14ac:dyDescent="0.35">
      <c r="B26" s="27" t="s">
        <v>272</v>
      </c>
      <c r="C26" s="26">
        <f>C6+C22</f>
        <v>71500</v>
      </c>
      <c r="D26" s="26">
        <f>C26-C6</f>
        <v>43000</v>
      </c>
    </row>
    <row r="27" spans="2:5" x14ac:dyDescent="0.35">
      <c r="B27" s="27" t="s">
        <v>274</v>
      </c>
      <c r="C27" s="39">
        <f>C7</f>
        <v>500</v>
      </c>
      <c r="D27" s="26">
        <f>C27-C7</f>
        <v>0</v>
      </c>
    </row>
    <row r="28" spans="2:5" x14ac:dyDescent="0.35">
      <c r="B28" s="27" t="s">
        <v>276</v>
      </c>
      <c r="C28" s="26">
        <f>C8+5000</f>
        <v>47000</v>
      </c>
      <c r="D28" s="26">
        <f>C28-C8</f>
        <v>5000</v>
      </c>
    </row>
    <row r="29" spans="2:5" x14ac:dyDescent="0.35">
      <c r="B29" s="27" t="s">
        <v>278</v>
      </c>
      <c r="C29" s="39">
        <f>C9</f>
        <v>8500</v>
      </c>
      <c r="D29" s="26">
        <f>C29-C9</f>
        <v>0</v>
      </c>
    </row>
    <row r="30" spans="2:5" x14ac:dyDescent="0.35">
      <c r="B30" s="48" t="s">
        <v>297</v>
      </c>
      <c r="C30" s="49">
        <f>SUM(C26:C29)</f>
        <v>127500</v>
      </c>
      <c r="D30" s="49">
        <f>C30-C10</f>
        <v>48000</v>
      </c>
    </row>
    <row r="32" spans="2:5" ht="15.5" x14ac:dyDescent="0.35">
      <c r="B32" s="65" t="s">
        <v>298</v>
      </c>
      <c r="C32" s="66"/>
      <c r="D32" s="66"/>
      <c r="E32" s="66"/>
    </row>
    <row r="33" spans="2:5" x14ac:dyDescent="0.35">
      <c r="B33" s="6" t="s">
        <v>299</v>
      </c>
      <c r="C33" s="6" t="s">
        <v>300</v>
      </c>
      <c r="D33" s="6" t="s">
        <v>301</v>
      </c>
      <c r="E33" s="6" t="s">
        <v>302</v>
      </c>
    </row>
    <row r="34" spans="2:5" x14ac:dyDescent="0.35">
      <c r="B34" s="3" t="s">
        <v>303</v>
      </c>
      <c r="C34" s="39">
        <v>90000</v>
      </c>
      <c r="D34" s="39">
        <v>42000</v>
      </c>
      <c r="E34" s="32">
        <f>IF(C34=0,0,D34/C34)</f>
        <v>0.46666666666666667</v>
      </c>
    </row>
    <row r="35" spans="2:5" x14ac:dyDescent="0.35">
      <c r="B35" s="3" t="s">
        <v>304</v>
      </c>
      <c r="C35" s="39">
        <v>25000</v>
      </c>
      <c r="D35" s="39">
        <v>8500</v>
      </c>
      <c r="E35" s="32">
        <f>IF(C35=0,0,D35/C35)</f>
        <v>0.34</v>
      </c>
    </row>
    <row r="36" spans="2:5" x14ac:dyDescent="0.35">
      <c r="B36" s="3" t="s">
        <v>305</v>
      </c>
      <c r="C36" s="39">
        <v>50000</v>
      </c>
      <c r="D36" s="39">
        <v>0</v>
      </c>
      <c r="E36" s="32">
        <f>IF(C36=0,0,D36/C36)</f>
        <v>0</v>
      </c>
    </row>
    <row r="37" spans="2:5" x14ac:dyDescent="0.35">
      <c r="B37" s="3" t="s">
        <v>306</v>
      </c>
      <c r="C37" s="39">
        <v>12000</v>
      </c>
      <c r="D37" s="39">
        <v>8500</v>
      </c>
      <c r="E37" s="32">
        <f>IF(C37=0,0,D37/C37)</f>
        <v>0.70833333333333337</v>
      </c>
    </row>
  </sheetData>
  <mergeCells count="5">
    <mergeCell ref="B12:E12"/>
    <mergeCell ref="B4:D4"/>
    <mergeCell ref="B1:G1"/>
    <mergeCell ref="B24:D24"/>
    <mergeCell ref="B32:E32"/>
  </mergeCell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29"/>
  <sheetViews>
    <sheetView workbookViewId="0">
      <selection activeCell="O5" sqref="O5"/>
    </sheetView>
  </sheetViews>
  <sheetFormatPr defaultRowHeight="14.5" x14ac:dyDescent="0.35"/>
  <cols>
    <col min="1" max="1" width="3" customWidth="1"/>
    <col min="2" max="2" width="22" customWidth="1"/>
    <col min="3" max="5" width="14" customWidth="1"/>
  </cols>
  <sheetData>
    <row r="1" spans="2:5" ht="35.5" customHeight="1" x14ac:dyDescent="0.35">
      <c r="B1" s="73" t="s">
        <v>307</v>
      </c>
      <c r="C1" s="57"/>
      <c r="D1" s="57"/>
      <c r="E1" s="57"/>
    </row>
    <row r="3" spans="2:5" x14ac:dyDescent="0.35">
      <c r="B3" s="19" t="s">
        <v>308</v>
      </c>
    </row>
    <row r="5" spans="2:5" x14ac:dyDescent="0.35">
      <c r="B5" s="55" t="s">
        <v>309</v>
      </c>
    </row>
    <row r="6" spans="2:5" ht="15.5" x14ac:dyDescent="0.35">
      <c r="B6" s="18" t="s">
        <v>123</v>
      </c>
      <c r="C6" s="18" t="s">
        <v>125</v>
      </c>
    </row>
    <row r="7" spans="2:5" x14ac:dyDescent="0.35">
      <c r="B7" s="27" t="s">
        <v>130</v>
      </c>
      <c r="C7" s="25">
        <v>2960</v>
      </c>
    </row>
    <row r="8" spans="2:5" x14ac:dyDescent="0.35">
      <c r="B8" s="27" t="s">
        <v>310</v>
      </c>
      <c r="C8" s="25">
        <v>2464</v>
      </c>
    </row>
    <row r="9" spans="2:5" x14ac:dyDescent="0.35">
      <c r="B9" s="27" t="s">
        <v>311</v>
      </c>
      <c r="C9" s="25">
        <v>2660</v>
      </c>
    </row>
    <row r="10" spans="2:5" x14ac:dyDescent="0.35">
      <c r="B10" s="27" t="s">
        <v>312</v>
      </c>
      <c r="C10" s="25">
        <v>4500</v>
      </c>
    </row>
    <row r="11" spans="2:5" x14ac:dyDescent="0.35">
      <c r="B11" s="27" t="s">
        <v>29</v>
      </c>
      <c r="C11" s="25">
        <v>18720</v>
      </c>
    </row>
    <row r="12" spans="2:5" x14ac:dyDescent="0.35">
      <c r="B12" s="27" t="s">
        <v>313</v>
      </c>
      <c r="C12" s="25">
        <v>1320</v>
      </c>
    </row>
    <row r="13" spans="2:5" x14ac:dyDescent="0.35">
      <c r="B13" s="27" t="s">
        <v>314</v>
      </c>
      <c r="C13" s="25">
        <v>880</v>
      </c>
    </row>
    <row r="14" spans="2:5" x14ac:dyDescent="0.35">
      <c r="B14" s="27" t="s">
        <v>315</v>
      </c>
      <c r="C14" s="25">
        <v>605</v>
      </c>
    </row>
    <row r="15" spans="2:5" x14ac:dyDescent="0.35">
      <c r="B15" s="27" t="s">
        <v>316</v>
      </c>
      <c r="C15" s="25">
        <v>881.5</v>
      </c>
    </row>
    <row r="18" spans="2:5" x14ac:dyDescent="0.35">
      <c r="B18" s="55" t="s">
        <v>317</v>
      </c>
    </row>
    <row r="19" spans="2:5" ht="15.5" x14ac:dyDescent="0.35">
      <c r="B19" s="18" t="s">
        <v>26</v>
      </c>
      <c r="C19" s="18" t="s">
        <v>27</v>
      </c>
      <c r="D19" s="18" t="s">
        <v>28</v>
      </c>
      <c r="E19" s="18" t="s">
        <v>15</v>
      </c>
    </row>
    <row r="20" spans="2:5" x14ac:dyDescent="0.35">
      <c r="B20" s="27" t="s">
        <v>31</v>
      </c>
      <c r="C20" s="30">
        <v>48500</v>
      </c>
      <c r="D20" s="30">
        <v>49700</v>
      </c>
      <c r="E20" s="30">
        <v>-1200</v>
      </c>
    </row>
    <row r="21" spans="2:5" x14ac:dyDescent="0.35">
      <c r="B21" s="27" t="s">
        <v>32</v>
      </c>
      <c r="C21" s="30">
        <v>51200</v>
      </c>
      <c r="D21" s="30">
        <v>48300</v>
      </c>
      <c r="E21" s="30">
        <v>2900</v>
      </c>
    </row>
    <row r="22" spans="2:5" x14ac:dyDescent="0.35">
      <c r="B22" s="27" t="s">
        <v>33</v>
      </c>
      <c r="C22" s="30">
        <v>47800</v>
      </c>
      <c r="D22" s="30">
        <v>51000</v>
      </c>
      <c r="E22" s="30">
        <v>-3200</v>
      </c>
    </row>
    <row r="23" spans="2:5" x14ac:dyDescent="0.35">
      <c r="B23" s="27" t="s">
        <v>34</v>
      </c>
      <c r="C23" s="30">
        <v>53400</v>
      </c>
      <c r="D23" s="30">
        <v>49100</v>
      </c>
      <c r="E23" s="30">
        <v>4300</v>
      </c>
    </row>
    <row r="24" spans="2:5" x14ac:dyDescent="0.35">
      <c r="B24" s="27" t="s">
        <v>35</v>
      </c>
      <c r="C24" s="30">
        <v>56100</v>
      </c>
      <c r="D24" s="30">
        <v>50800</v>
      </c>
      <c r="E24" s="30">
        <v>5300</v>
      </c>
    </row>
    <row r="25" spans="2:5" x14ac:dyDescent="0.35">
      <c r="B25" s="27" t="s">
        <v>36</v>
      </c>
      <c r="C25" s="30">
        <v>52900</v>
      </c>
      <c r="D25" s="30">
        <v>52200</v>
      </c>
      <c r="E25" s="30">
        <v>700</v>
      </c>
    </row>
    <row r="26" spans="2:5" x14ac:dyDescent="0.35">
      <c r="B26" s="27" t="s">
        <v>37</v>
      </c>
      <c r="C26" s="30">
        <v>49500</v>
      </c>
      <c r="D26" s="30">
        <v>50400</v>
      </c>
      <c r="E26" s="30">
        <v>-900</v>
      </c>
    </row>
    <row r="27" spans="2:5" x14ac:dyDescent="0.35">
      <c r="B27" s="27" t="s">
        <v>38</v>
      </c>
      <c r="C27" s="30">
        <v>54800</v>
      </c>
      <c r="D27" s="30">
        <v>51600</v>
      </c>
      <c r="E27" s="30">
        <v>3200</v>
      </c>
    </row>
    <row r="28" spans="2:5" x14ac:dyDescent="0.35">
      <c r="B28" s="27" t="s">
        <v>39</v>
      </c>
      <c r="C28" s="30">
        <v>58200</v>
      </c>
      <c r="D28" s="30">
        <v>53000</v>
      </c>
      <c r="E28" s="30">
        <v>5200</v>
      </c>
    </row>
    <row r="29" spans="2:5" x14ac:dyDescent="0.35">
      <c r="B29" s="27" t="s">
        <v>40</v>
      </c>
      <c r="C29" s="30">
        <v>61500</v>
      </c>
      <c r="D29" s="30">
        <v>54800</v>
      </c>
      <c r="E29" s="30">
        <v>6700</v>
      </c>
    </row>
  </sheetData>
  <mergeCells count="1">
    <mergeCell ref="B1:E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8DC83-FB08-45B5-9C9F-6B359B608CE3}">
  <dimension ref="A1:B20"/>
  <sheetViews>
    <sheetView workbookViewId="0">
      <selection activeCell="B8" sqref="B8"/>
    </sheetView>
  </sheetViews>
  <sheetFormatPr defaultRowHeight="14.5" x14ac:dyDescent="0.35"/>
  <cols>
    <col min="1" max="1" width="37.7265625" customWidth="1"/>
    <col min="2" max="2" width="115.90625" customWidth="1"/>
  </cols>
  <sheetData>
    <row r="1" spans="1:2" x14ac:dyDescent="0.35">
      <c r="A1" t="s">
        <v>324</v>
      </c>
    </row>
    <row r="3" spans="1:2" x14ac:dyDescent="0.35">
      <c r="A3" t="s">
        <v>325</v>
      </c>
      <c r="B3" t="s">
        <v>326</v>
      </c>
    </row>
    <row r="4" spans="1:2" x14ac:dyDescent="0.35">
      <c r="A4" t="s">
        <v>327</v>
      </c>
      <c r="B4" t="s">
        <v>328</v>
      </c>
    </row>
    <row r="5" spans="1:2" x14ac:dyDescent="0.35">
      <c r="A5" t="s">
        <v>27</v>
      </c>
      <c r="B5" t="s">
        <v>329</v>
      </c>
    </row>
    <row r="6" spans="1:2" x14ac:dyDescent="0.35">
      <c r="A6" t="s">
        <v>28</v>
      </c>
      <c r="B6" t="s">
        <v>330</v>
      </c>
    </row>
    <row r="7" spans="1:2" x14ac:dyDescent="0.35">
      <c r="A7" t="s">
        <v>331</v>
      </c>
      <c r="B7" t="s">
        <v>332</v>
      </c>
    </row>
    <row r="8" spans="1:2" x14ac:dyDescent="0.35">
      <c r="A8" t="s">
        <v>333</v>
      </c>
      <c r="B8" t="s">
        <v>334</v>
      </c>
    </row>
    <row r="9" spans="1:2" x14ac:dyDescent="0.35">
      <c r="A9" t="s">
        <v>335</v>
      </c>
      <c r="B9" t="s">
        <v>336</v>
      </c>
    </row>
    <row r="10" spans="1:2" x14ac:dyDescent="0.35">
      <c r="A10" t="s">
        <v>337</v>
      </c>
      <c r="B10" t="s">
        <v>338</v>
      </c>
    </row>
    <row r="12" spans="1:2" x14ac:dyDescent="0.35">
      <c r="A12" t="s">
        <v>339</v>
      </c>
    </row>
    <row r="14" spans="1:2" x14ac:dyDescent="0.35">
      <c r="A14" t="s">
        <v>345</v>
      </c>
    </row>
    <row r="15" spans="1:2" x14ac:dyDescent="0.35">
      <c r="A15" t="s">
        <v>344</v>
      </c>
    </row>
    <row r="16" spans="1:2" x14ac:dyDescent="0.35">
      <c r="A16" t="s">
        <v>340</v>
      </c>
    </row>
    <row r="17" spans="1:1" x14ac:dyDescent="0.35">
      <c r="A17" t="s">
        <v>341</v>
      </c>
    </row>
    <row r="18" spans="1:1" x14ac:dyDescent="0.35">
      <c r="A18" t="s">
        <v>342</v>
      </c>
    </row>
    <row r="20" spans="1:1" x14ac:dyDescent="0.35">
      <c r="A20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Dashboard</vt:lpstr>
      <vt:lpstr>Revenue</vt:lpstr>
      <vt:lpstr>Expenses</vt:lpstr>
      <vt:lpstr>Payroll</vt:lpstr>
      <vt:lpstr>Monthly P&amp;L</vt:lpstr>
      <vt:lpstr>Cash Flow</vt:lpstr>
      <vt:lpstr>Chart Data</vt:lpstr>
      <vt:lpstr>Instruction</vt:lpstr>
      <vt:lpstr>'Cash Flow'!Print_Titles</vt:lpstr>
      <vt:lpstr>Dashboard!Print_Titles</vt:lpstr>
      <vt:lpstr>Expenses!Print_Titles</vt:lpstr>
      <vt:lpstr>'Monthly P&amp;L'!Print_Titles</vt:lpstr>
      <vt:lpstr>Payroll!Print_Titles</vt:lpstr>
      <vt:lpstr>Revenue!Print_Titles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Zafar Baig</cp:lastModifiedBy>
  <dcterms:created xsi:type="dcterms:W3CDTF">2026-10-18T08:57:18Z</dcterms:created>
  <dcterms:modified xsi:type="dcterms:W3CDTF">2026-10-20T10:46:54Z</dcterms:modified>
</cp:coreProperties>
</file>